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D65620C1-BA10-5F4E-BBA4-363A39E77FF8}" xr6:coauthVersionLast="47" xr6:coauthVersionMax="47" xr10:uidLastSave="{00000000-0000-0000-0000-000000000000}"/>
  <bookViews>
    <workbookView xWindow="0" yWindow="740" windowWidth="29400" windowHeight="1730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C22" i="2"/>
  <c r="C21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D21" i="2"/>
  <c r="K21" i="2" s="1"/>
  <c r="D16" i="2"/>
  <c r="K16" i="2" s="1"/>
  <c r="C16" i="2"/>
  <c r="B16" i="2" s="1"/>
  <c r="E16" i="2" s="1"/>
  <c r="C15" i="2"/>
  <c r="D15" i="2"/>
  <c r="K15" i="2" s="1"/>
  <c r="D14" i="2"/>
  <c r="K14" i="2" s="1"/>
  <c r="D13" i="2"/>
  <c r="C14" i="2"/>
  <c r="C13" i="2"/>
  <c r="D12" i="2"/>
  <c r="D11" i="2"/>
  <c r="C10" i="2"/>
  <c r="C12" i="2"/>
  <c r="D10" i="2"/>
  <c r="C11" i="2"/>
  <c r="D9" i="2"/>
  <c r="C9" i="2"/>
  <c r="C8" i="2"/>
  <c r="B8" i="2" s="1"/>
  <c r="E8" i="2" s="1"/>
  <c r="C3" i="2"/>
  <c r="B3" i="2" s="1"/>
  <c r="E3" i="2" s="1"/>
  <c r="C4" i="2"/>
  <c r="B4" i="2" s="1"/>
  <c r="E4" i="2" s="1"/>
  <c r="C5" i="2"/>
  <c r="B5" i="2" s="1"/>
  <c r="E5" i="2" s="1"/>
  <c r="D17" i="2"/>
  <c r="K17" i="2" s="1"/>
  <c r="D18" i="2"/>
  <c r="K18" i="2" s="1"/>
  <c r="D19" i="2"/>
  <c r="K19" i="2" s="1"/>
  <c r="D20" i="2"/>
  <c r="K20" i="2" s="1"/>
  <c r="C20" i="2"/>
  <c r="C19" i="2"/>
  <c r="C18" i="2"/>
  <c r="C17" i="2"/>
  <c r="C7" i="2"/>
  <c r="B7" i="2" s="1"/>
  <c r="E7" i="2" s="1"/>
  <c r="C2" i="2"/>
  <c r="B2" i="2" s="1"/>
  <c r="E2" i="2" s="1"/>
  <c r="C6" i="2"/>
  <c r="B6" i="2" s="1"/>
  <c r="E6" i="2" s="1"/>
  <c r="K13" i="2" l="1"/>
  <c r="B9" i="2"/>
  <c r="E9" i="2" s="1"/>
  <c r="F21" i="2"/>
  <c r="H4" i="2"/>
  <c r="F4" i="2" s="1"/>
  <c r="H3" i="2"/>
  <c r="F3" i="2" s="1"/>
  <c r="F20" i="2"/>
  <c r="B12" i="2"/>
  <c r="E12" i="2" s="1"/>
  <c r="B10" i="2"/>
  <c r="E10" i="2" s="1"/>
  <c r="B17" i="2"/>
  <c r="E17" i="2" s="1"/>
  <c r="B19" i="2"/>
  <c r="E19" i="2" s="1"/>
  <c r="B13" i="2"/>
  <c r="E13" i="2" s="1"/>
  <c r="B20" i="2"/>
  <c r="E20" i="2" s="1"/>
  <c r="B14" i="2"/>
  <c r="E14" i="2" s="1"/>
  <c r="B15" i="2"/>
  <c r="E15" i="2" s="1"/>
  <c r="B21" i="2"/>
  <c r="E21" i="2" s="1"/>
  <c r="B11" i="2"/>
  <c r="E11" i="2" s="1"/>
  <c r="B18" i="2"/>
  <c r="E18" i="2" s="1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<sst xmlns="http://schemas.openxmlformats.org/spreadsheetml/2006/main" count="61" uniqueCount="60">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</sst>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zoomScale="90" zoomScaleNormal="90" workbookViewId="0">
      <selection activeCell="B1" sqref="B1:B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HK_MSW_recycled[[#This Row],[HK total MSW disposed (tonnes)]]+HK_MSW_recycled[[#This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HK_MSW_recycled[[#This Row],[HK total MSW disposed (tonnes)]]+HK_MSW_recycled[[#This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HK_MSW_recycled[[#This Row],[HK total MSW disposed (tonnes)]]+HK_MSW_recycled[[#This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HK_MSW_recycled[[#This Row],[HK total MSW disposed (tonnes)]]+HK_MSW_recycled[[#This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HK_MSW_recycled[[#This Row],[HK total MSW disposed (tonnes)]]+HK_MSW_recycled[[#This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2">
        <f>HK_MSW_recycled[[#This Row],[HK total MSW disposed (tonnes)]]+HK_MSW_recycled[[#This Row],[HK total MSW recycled (tonnes)]]</f>
        <v>6452000</v>
      </c>
      <c r="C7" s="12">
        <f>ROUND((8963*365), -3)</f>
        <v>3271000</v>
      </c>
      <c r="D7" s="12">
        <v>3181000</v>
      </c>
      <c r="E7" s="13">
        <f>HK_MSW_recycled[[#This Row],[HK total MSW recycled (tonnes)]]/HK_MSW_recycled[[#This Row],[HK total MSW generated (tonnes)]]</f>
        <v>0.49302541847489151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2">
        <f>HK_MSW_recycled[[#This Row],[HK total MSW disposed (tonnes)]]+HK_MSW_recycled[[#This Row],[HK total MSW recycled (tonnes)]]</f>
        <v>6930000</v>
      </c>
      <c r="C8" s="12">
        <f>ROUND((9114*365),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2">
        <f>HK_MSW_recycled[[#This Row],[HK total MSW disposed (tonnes)]]+HK_MSW_recycled[[#This Row],[HK total MSW recycled (tonnes)]]</f>
        <v>6303000</v>
      </c>
      <c r="C9" s="12">
        <f>ROUND((8996*365),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2">
        <f>HK_MSW_recycled[[#This Row],[HK total MSW disposed (tonnes)]]+HK_MSW_recycled[[#This Row],[HK total MSW recycled (tonnes)]]</f>
        <v>5559000</v>
      </c>
      <c r="C10" s="12">
        <f>ROUND((9278*366),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2">
        <f>HK_MSW_recycled[[#This Row],[HK total MSW disposed (tonnes)]]+HK_MSW_recycled[[#This Row],[HK total MSW recycled (tonnes)]]</f>
        <v>5494000</v>
      </c>
      <c r="C11" s="12">
        <f>ROUND((9547*365), -3)</f>
        <v>3485000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0.36567164179104478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2">
        <f>HK_MSW_recycled[[#This Row],[HK total MSW disposed (tonnes)]]+HK_MSW_recycled[[#This Row],[HK total MSW recycled (tonnes)]]</f>
        <v>5623000</v>
      </c>
      <c r="C12" s="12">
        <f>ROUND((9782*365), -3)</f>
        <v>3570000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0.36510759381113284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2">
        <f>HK_MSW_recycled[[#This Row],[HK total MSW disposed (tonnes)]]+HK_MSW_recycled[[#This Row],[HK total MSW recycled (tonnes)]]</f>
        <v>5620000</v>
      </c>
      <c r="C13" s="12">
        <f>ROUND((10159*365), -3)</f>
        <v>3708000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0.34021352313167258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2">
        <f>HK_MSW_recycled[[#This Row],[HK total MSW disposed (tonnes)]]+HK_MSW_recycled[[#This Row],[HK total MSW recycled (tonnes)]]</f>
        <v>5819000</v>
      </c>
      <c r="C14" s="12">
        <f>ROUND((10345*366), -3)</f>
        <v>3786000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0.34937274445781064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2">
        <f>HK_MSW_recycled[[#This Row],[HK total MSW disposed (tonnes)]]+HK_MSW_recycled[[#This Row],[HK total MSW recycled (tonnes)]]</f>
        <v>5749000</v>
      </c>
      <c r="C15" s="12">
        <f>ROUND((10733*365), -3)</f>
        <v>3918000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0.31849017220386155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2">
        <f>HK_MSW_recycled[[#This Row],[HK total MSW disposed (tonnes)]]+HK_MSW_recycled[[#This Row],[HK total MSW recycled (tonnes)]]</f>
        <v>5949000</v>
      </c>
      <c r="C16" s="12">
        <f>ROUND((11428*365),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2">
        <f>HK_MSW_recycled[[#This Row],[HK total MSW disposed (tonnes)]]+HK_MSW_recycled[[#This Row],[HK total MSW recycled (tonnes)]]</f>
        <v>5675000</v>
      </c>
      <c r="C17" s="12">
        <f>ROUND((11057*365),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2">
        <f>HK_MSW_recycled[[#This Row],[HK total MSW disposed (tonnes)]]+HK_MSW_recycled[[#This Row],[HK total MSW recycled (tonnes)]]</f>
        <v>5494000</v>
      </c>
      <c r="C18" s="12">
        <f>ROUND((10809*366),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2">
        <f>HK_MSW_recycled[[#This Row],[HK total MSW disposed (tonnes)]]+HK_MSW_recycled[[#This Row],[HK total MSW recycled (tonnes)]]</f>
        <v>5987000</v>
      </c>
      <c r="C19" s="12">
        <f>ROUND((11358*365),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2">
        <f>HK_MSW_recycled[[#This Row],[HK total MSW disposed (tonnes)]]+HK_MSW_recycled[[#This Row],[HK total MSW recycled (tonnes)]]</f>
        <v>5975000</v>
      </c>
      <c r="C20" s="12">
        <f>ROUND((11128*365),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2">
        <f>HK_MSW_recycled[[#This Row],[HK total MSW disposed (tonnes)]]+HK_MSW_recycled[[#This Row],[HK total MSW recycled (tonnes)]]</f>
        <v>5942000</v>
      </c>
      <c r="C21" s="12">
        <f>ROUND((10884*365), -3)</f>
        <v>3973000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0.33136990912150793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f>ROUND((10510*366), -3)</f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="156" zoomScaleNormal="100" workbookViewId="0">
      <selection activeCell="I6" sqref="I6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2025-11-04T14:29:09Z</dcterms:modified>
</cp:coreProperties>
</file>