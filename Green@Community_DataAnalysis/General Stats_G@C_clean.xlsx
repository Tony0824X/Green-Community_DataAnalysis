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13DF6E57-C26B-3F4A-A8A0-E22E12BADFB3}" xr6:coauthVersionLast="47" xr6:coauthVersionMax="47" xr10:uidLastSave="{00000000-0000-0000-0000-000000000000}"/>
  <bookViews>
    <workbookView xWindow="0" yWindow="720" windowWidth="29400" windowHeight="1840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C22" i="2"/>
  <c r="C21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D21" i="2"/>
  <c r="K21" i="2" s="1"/>
  <c r="D16" i="2"/>
  <c r="K16" i="2" s="1"/>
  <c r="C16" i="2"/>
  <c r="B16" i="2" s="1"/>
  <c r="E16" i="2" s="1"/>
  <c r="C15" i="2"/>
  <c r="D15" i="2"/>
  <c r="K15" i="2" s="1"/>
  <c r="D14" i="2"/>
  <c r="K14" i="2" s="1"/>
  <c r="D13" i="2"/>
  <c r="C14" i="2"/>
  <c r="C13" i="2"/>
  <c r="D12" i="2"/>
  <c r="D11" i="2"/>
  <c r="C10" i="2"/>
  <c r="C12" i="2"/>
  <c r="D10" i="2"/>
  <c r="C11" i="2"/>
  <c r="D9" i="2"/>
  <c r="C9" i="2"/>
  <c r="C8" i="2"/>
  <c r="B8" i="2" s="1"/>
  <c r="E8" i="2" s="1"/>
  <c r="C3" i="2"/>
  <c r="B3" i="2" s="1"/>
  <c r="E3" i="2" s="1"/>
  <c r="C4" i="2"/>
  <c r="B4" i="2" s="1"/>
  <c r="E4" i="2" s="1"/>
  <c r="C5" i="2"/>
  <c r="B5" i="2" s="1"/>
  <c r="E5" i="2" s="1"/>
  <c r="D17" i="2"/>
  <c r="K17" i="2" s="1"/>
  <c r="D18" i="2"/>
  <c r="K18" i="2" s="1"/>
  <c r="D19" i="2"/>
  <c r="K19" i="2" s="1"/>
  <c r="D20" i="2"/>
  <c r="K20" i="2" s="1"/>
  <c r="C20" i="2"/>
  <c r="C19" i="2"/>
  <c r="C18" i="2"/>
  <c r="C17" i="2"/>
  <c r="C7" i="2"/>
  <c r="B7" i="2" s="1"/>
  <c r="E7" i="2" s="1"/>
  <c r="C2" i="2"/>
  <c r="B2" i="2" s="1"/>
  <c r="E2" i="2" s="1"/>
  <c r="C6" i="2"/>
  <c r="B6" i="2" s="1"/>
  <c r="E6" i="2" s="1"/>
  <c r="K13" i="2" l="1"/>
  <c r="B9" i="2"/>
  <c r="E9" i="2" s="1"/>
  <c r="F21" i="2"/>
  <c r="H4" i="2"/>
  <c r="F4" i="2" s="1"/>
  <c r="H3" i="2"/>
  <c r="F3" i="2" s="1"/>
  <c r="F20" i="2"/>
  <c r="B12" i="2"/>
  <c r="E12" i="2" s="1"/>
  <c r="B10" i="2"/>
  <c r="E10" i="2" s="1"/>
  <c r="B17" i="2"/>
  <c r="E17" i="2" s="1"/>
  <c r="B19" i="2"/>
  <c r="E19" i="2" s="1"/>
  <c r="B13" i="2"/>
  <c r="E13" i="2" s="1"/>
  <c r="B20" i="2"/>
  <c r="E20" i="2" s="1"/>
  <c r="B14" i="2"/>
  <c r="E14" i="2" s="1"/>
  <c r="B15" i="2"/>
  <c r="E15" i="2" s="1"/>
  <c r="B21" i="2"/>
  <c r="E21" i="2" s="1"/>
  <c r="B11" i="2"/>
  <c r="E11" i="2" s="1"/>
  <c r="B18" i="2"/>
  <c r="E18" i="2" s="1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<sst xmlns="http://schemas.openxmlformats.org/spreadsheetml/2006/main" count="61" uniqueCount="60">
  <si>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</si>
  <si>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</si>
  <si>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</si>
  <si>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</si>
  <si>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</si>
  <si>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recycled (tonnes)</t>
  </si>
  <si>
    <t>HK total MSW generated (tonnes)</t>
  </si>
  <si>
    <t>G@C share of HK total MSW recycling</t>
  </si>
  <si>
    <t>G@C recyclables collection volume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</si>
  <si>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</si>
  <si>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</si>
  <si>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</si>
  <si>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</si>
  <si>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</si>
  <si>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G@C total operating cost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</si>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</sst>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7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</cellXfs>
  <cellStyles count="2">
    <cellStyle name="一般" xfId="0" builtinId="0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zoomScale="75" zoomScaleNormal="55" workbookViewId="0">
      <selection activeCell="B1" sqref="B1:B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6</v>
      </c>
      <c r="C1" s="7" t="s">
        <v>4</v>
      </c>
      <c r="D1" s="7" t="s">
        <v>5</v>
      </c>
      <c r="E1" s="7" t="s">
        <v>1</v>
      </c>
      <c r="F1" s="7" t="s">
        <v>10</v>
      </c>
      <c r="G1" s="7" t="s">
        <v>11</v>
      </c>
      <c r="H1" s="7" t="s">
        <v>12</v>
      </c>
      <c r="I1" s="7" t="s">
        <v>13</v>
      </c>
      <c r="J1" s="2" t="s">
        <v>8</v>
      </c>
      <c r="K1" s="7" t="s">
        <v>7</v>
      </c>
      <c r="L1" s="7" t="s">
        <v>24</v>
      </c>
      <c r="M1" s="7" t="s">
        <v>48</v>
      </c>
      <c r="N1" s="7" t="s">
        <v>49</v>
      </c>
      <c r="O1" s="7" t="s">
        <v>50</v>
      </c>
      <c r="P1" s="7" t="s">
        <v>9</v>
      </c>
      <c r="Q1" s="7" t="s">
        <v>15</v>
      </c>
      <c r="R1" s="7" t="s">
        <v>56</v>
      </c>
      <c r="S1" s="7" t="s">
        <v>57</v>
      </c>
      <c r="T1" s="7" t="s">
        <v>58</v>
      </c>
      <c r="U1" s="7" t="s">
        <v>2</v>
      </c>
      <c r="V1" s="7" t="s">
        <v>59</v>
      </c>
    </row>
    <row r="2" spans="1:22">
      <c r="A2" s="11">
        <v>2004</v>
      </c>
      <c r="B2" s="12">
        <f>HK_MSW_recycled[[#This Row],[HK total MSW disposed (tonnes)]]+HK_MSW_recycled[[#This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HK_MSW_recycled[[#This Row],[HK total MSW disposed (tonnes)]]+HK_MSW_recycled[[#This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HK_MSW_recycled[[#This Row],[HK total MSW disposed (tonnes)]]+HK_MSW_recycled[[#This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HK_MSW_recycled[[#This Row],[HK total MSW disposed (tonnes)]]+HK_MSW_recycled[[#This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HK_MSW_recycled[[#This Row],[HK total MSW disposed (tonnes)]]+HK_MSW_recycled[[#This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2">
        <f>HK_MSW_recycled[[#This Row],[HK total MSW disposed (tonnes)]]+HK_MSW_recycled[[#This Row],[HK total MSW recycled (tonnes)]]</f>
        <v>6452000</v>
      </c>
      <c r="C7" s="12">
        <f>ROUND((8963*365), -3)</f>
        <v>3271000</v>
      </c>
      <c r="D7" s="12">
        <v>3181000</v>
      </c>
      <c r="E7" s="13">
        <f>HK_MSW_recycled[[#This Row],[HK total MSW recycled (tonnes)]]/HK_MSW_recycled[[#This Row],[HK total MSW generated (tonnes)]]</f>
        <v>0.49302541847489151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2">
        <f>HK_MSW_recycled[[#This Row],[HK total MSW disposed (tonnes)]]+HK_MSW_recycled[[#This Row],[HK total MSW recycled (tonnes)]]</f>
        <v>6930000</v>
      </c>
      <c r="C8" s="12">
        <f>ROUND((9114*365),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2">
        <f>HK_MSW_recycled[[#This Row],[HK total MSW disposed (tonnes)]]+HK_MSW_recycled[[#This Row],[HK total MSW recycled (tonnes)]]</f>
        <v>6303000</v>
      </c>
      <c r="C9" s="12">
        <f>ROUND((8996*365),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2">
        <f>HK_MSW_recycled[[#This Row],[HK total MSW disposed (tonnes)]]+HK_MSW_recycled[[#This Row],[HK total MSW recycled (tonnes)]]</f>
        <v>5559000</v>
      </c>
      <c r="C10" s="12">
        <f>ROUND((9278*366),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2">
        <f>HK_MSW_recycled[[#This Row],[HK total MSW disposed (tonnes)]]+HK_MSW_recycled[[#This Row],[HK total MSW recycled (tonnes)]]</f>
        <v>5494000</v>
      </c>
      <c r="C11" s="12">
        <f>ROUND((9547*365), -3)</f>
        <v>3485000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0.36567164179104478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2">
        <f>HK_MSW_recycled[[#This Row],[HK total MSW disposed (tonnes)]]+HK_MSW_recycled[[#This Row],[HK total MSW recycled (tonnes)]]</f>
        <v>5623000</v>
      </c>
      <c r="C12" s="12">
        <f>ROUND((9782*365), -3)</f>
        <v>3570000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0.36510759381113284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2">
        <f>HK_MSW_recycled[[#This Row],[HK total MSW disposed (tonnes)]]+HK_MSW_recycled[[#This Row],[HK total MSW recycled (tonnes)]]</f>
        <v>5620000</v>
      </c>
      <c r="C13" s="12">
        <f>ROUND((10159*365), -3)</f>
        <v>3708000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0.34021352313167258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2">
        <f>HK_MSW_recycled[[#This Row],[HK total MSW disposed (tonnes)]]+HK_MSW_recycled[[#This Row],[HK total MSW recycled (tonnes)]]</f>
        <v>5819000</v>
      </c>
      <c r="C14" s="12">
        <f>ROUND((10345*366), -3)</f>
        <v>3786000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0.34937274445781064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2">
        <f>HK_MSW_recycled[[#This Row],[HK total MSW disposed (tonnes)]]+HK_MSW_recycled[[#This Row],[HK total MSW recycled (tonnes)]]</f>
        <v>5749000</v>
      </c>
      <c r="C15" s="12">
        <f>ROUND((10733*365), -3)</f>
        <v>3918000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0.31849017220386155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2">
        <f>HK_MSW_recycled[[#This Row],[HK total MSW disposed (tonnes)]]+HK_MSW_recycled[[#This Row],[HK total MSW recycled (tonnes)]]</f>
        <v>5949000</v>
      </c>
      <c r="C16" s="12">
        <f>ROUND((11428*365),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2">
        <f>HK_MSW_recycled[[#This Row],[HK total MSW disposed (tonnes)]]+HK_MSW_recycled[[#This Row],[HK total MSW recycled (tonnes)]]</f>
        <v>5675000</v>
      </c>
      <c r="C17" s="12">
        <f>ROUND((11057*365),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2">
        <f>HK_MSW_recycled[[#This Row],[HK total MSW disposed (tonnes)]]+HK_MSW_recycled[[#This Row],[HK total MSW recycled (tonnes)]]</f>
        <v>5494000</v>
      </c>
      <c r="C18" s="12">
        <f>ROUND((10809*366),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2">
        <f>HK_MSW_recycled[[#This Row],[HK total MSW disposed (tonnes)]]+HK_MSW_recycled[[#This Row],[HK total MSW recycled (tonnes)]]</f>
        <v>5987000</v>
      </c>
      <c r="C19" s="12">
        <f>ROUND((11358*365),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2">
        <f>HK_MSW_recycled[[#This Row],[HK total MSW disposed (tonnes)]]+HK_MSW_recycled[[#This Row],[HK total MSW recycled (tonnes)]]</f>
        <v>5975000</v>
      </c>
      <c r="C20" s="12">
        <f>ROUND((11128*365),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2">
        <f>HK_MSW_recycled[[#This Row],[HK total MSW disposed (tonnes)]]+HK_MSW_recycled[[#This Row],[HK total MSW recycled (tonnes)]]</f>
        <v>5942000</v>
      </c>
      <c r="C21" s="12">
        <f>ROUND((10884*365), -3)</f>
        <v>3973000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0.33136990912150793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f>ROUND((10510*366), -3)</f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23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  <ignoredErrors>
    <ignoredError sqref="G3 G4:G20" calculatedColumn="1"/>
    <ignoredError sqref="K13:K15" formula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Normal="100" workbookViewId="0">
      <selection activeCell="H21" sqref="H21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" t="s">
        <v>14</v>
      </c>
      <c r="C1" s="2" t="s">
        <v>46</v>
      </c>
      <c r="D1" s="2" t="s">
        <v>47</v>
      </c>
      <c r="E1" s="2" t="s">
        <v>45</v>
      </c>
      <c r="F1" s="2" t="s">
        <v>53</v>
      </c>
      <c r="G1" s="2" t="s">
        <v>52</v>
      </c>
    </row>
    <row r="2" spans="1:7">
      <c r="A2" s="6" t="s">
        <v>55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54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51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22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21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20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19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18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17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16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44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42</v>
      </c>
      <c r="B1" s="5" t="s">
        <v>25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37</v>
      </c>
      <c r="H1" s="5" t="s">
        <v>36</v>
      </c>
      <c r="I1" s="5" t="s">
        <v>35</v>
      </c>
      <c r="J1" s="5" t="s">
        <v>34</v>
      </c>
      <c r="K1" s="5" t="s">
        <v>33</v>
      </c>
      <c r="L1" s="5" t="s">
        <v>32</v>
      </c>
      <c r="M1" s="5" t="s">
        <v>31</v>
      </c>
      <c r="N1" s="5" t="s">
        <v>30</v>
      </c>
      <c r="O1" s="5" t="s">
        <v>29</v>
      </c>
      <c r="P1" s="5" t="s">
        <v>28</v>
      </c>
      <c r="Q1" s="5" t="s">
        <v>27</v>
      </c>
      <c r="R1" s="5" t="s">
        <v>26</v>
      </c>
      <c r="S1" s="5" t="s">
        <v>43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2025-11-03T18:30:25Z</dcterms:modified>
</cp:coreProperties>
</file>