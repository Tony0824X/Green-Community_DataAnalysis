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1CB674D0-C8CB-2A44-8E8C-0B4996B9F327}" xr6:coauthVersionLast="47" xr6:coauthVersionMax="47" xr10:uidLastSave="{00000000-0000-0000-0000-000000000000}"/>
  <bookViews>
    <workbookView xWindow="0" yWindow="740" windowWidth="29400" windowHeight="17320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K21" i="2"/>
  <c r="K16" i="2"/>
  <c r="E16" i="2"/>
  <c r="K15" i="2"/>
  <c r="K14" i="2"/>
  <c r="E8" i="2"/>
  <c r="E3" i="2"/>
  <c r="E4" i="2"/>
  <c r="E5" i="2"/>
  <c r="K17" i="2"/>
  <c r="K18" i="2"/>
  <c r="K19" i="2"/>
  <c r="K20" i="2"/>
  <c r="E7" i="2"/>
  <c r="E2" i="2"/>
  <c r="E6" i="2"/>
  <c r="K13" i="2" l="1"/>
  <c r="E9" i="2"/>
  <c r="F21" i="2"/>
  <c r="H4" i="2"/>
  <c r="F4" i="2" s="1"/>
  <c r="H3" i="2"/>
  <c r="F3" i="2" s="1"/>
  <c r="F20" i="2"/>
  <c r="E12" i="2"/>
  <c r="E10" i="2"/>
  <c r="E17" i="2"/>
  <c r="E19" i="2"/>
  <c r="E13" i="2"/>
  <c r="E20" i="2"/>
  <c r="E14" i="2"/>
  <c r="E15" i="2"/>
  <c r="E21" i="2"/>
  <c r="E11" i="2"/>
  <c r="E18" i="2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<sst xmlns="http://schemas.openxmlformats.org/spreadsheetml/2006/main" count="61" uniqueCount="60">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</sst>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1234/Downloads/General%20Stats_G@C_clean-2.xlsx" TargetMode="External"/><Relationship Id="rId1" Type="http://schemas.openxmlformats.org/officeDocument/2006/relationships/externalLinkPath" Target="/Users/a1234/Downloads/General%20Stats_G@C_clean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K MSW Volume and Recycling Rat"/>
      <sheetName val="G@C Recyclables Collection Volu"/>
      <sheetName val="General Stats_G@C_clean-2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tabSelected="1" zoomScale="90" zoomScaleNormal="90" workbookViewId="0">
      <selection activeCell="E1" sqref="E1:E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[1]!HK_MSW_recycled[[#This Row],[HK total MSW disposed (tonnes)]]+[1]!HK_MSW_recycled[[#This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[1]!HK_MSW_recycled[[#This Row],[HK total MSW disposed (tonnes)]]+[1]!HK_MSW_recycled[[#This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[1]!HK_MSW_recycled[[#This Row],[HK total MSW disposed (tonnes)]]+[1]!HK_MSW_recycled[[#This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[1]!HK_MSW_recycled[[#This Row],[HK total MSW disposed (tonnes)]]+[1]!HK_MSW_recycled[[#This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[1]!HK_MSW_recycled[[#This Row],[HK total MSW disposed (tonnes)]]+[1]!HK_MSW_recycled[[#This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">
        <f>ROUND(6452600,-3)</f>
        <v>6453000</v>
      </c>
      <c r="C7" s="12">
        <f>ROUND(([1]!HK_MSW_recycled[[#This Row],[HK total MSW generated (tonnes)]]-[1]!HK_MSW_recycled[[#This Row],[HK total MSW recycled (tonnes)]]), -3)</f>
        <v>3272000</v>
      </c>
      <c r="D7" s="12">
        <v>3181000</v>
      </c>
      <c r="E7" s="13">
        <f>HK_MSW_recycled[[#This Row],[HK total MSW recycled (tonnes)]]/HK_MSW_recycled[[#This Row],[HK total MSW generated (tonnes)]]</f>
        <v>0.49294901596156826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">
        <f>ROUND(6930100,-3)</f>
        <v>6930000</v>
      </c>
      <c r="C8" s="12">
        <f>ROUND(([1]!HK_MSW_recycled[[#This Row],[HK total MSW generated (tonnes)]]-[1]!HK_MSW_recycled[[#This Row],[HK total MSW recycled (tonnes)]]),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">
        <f>ROUND(6302800,-3)</f>
        <v>6303000</v>
      </c>
      <c r="C9" s="12">
        <f>ROUND(([1]!HK_MSW_recycled[[#This Row],[HK total MSW generated (tonnes)]]-[1]!HK_MSW_recycled[[#This Row],[HK total MSW recycled (tonnes)]]),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">
        <f>ROUND(5558500,-3)</f>
        <v>5559000</v>
      </c>
      <c r="C10" s="12">
        <f>ROUND(([1]!HK_MSW_recycled[[#This Row],[HK total MSW generated (tonnes)]]-[1]!HK_MSW_recycled[[#This Row],[HK total MSW recycled (tonnes)]]),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">
        <f>ROUND(5493200,-3)</f>
        <v>5493000</v>
      </c>
      <c r="C11" s="12">
        <f>ROUND(([1]!HK_MSW_recycled[[#This Row],[HK total MSW generated (tonnes)]]-[1]!HK_MSW_recycled[[#This Row],[HK total MSW recycled (tonnes)]]), -3)</f>
        <v>3484000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0.36573821227016201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">
        <f>ROUND(5623600,-3)</f>
        <v>5624000</v>
      </c>
      <c r="C12" s="12">
        <f>ROUND(([1]!HK_MSW_recycled[[#This Row],[HK total MSW generated (tonnes)]]-[1]!HK_MSW_recycled[[#This Row],[HK total MSW recycled (tonnes)]]), -3)</f>
        <v>3571000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0.36504267425320058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">
        <f>ROUND(5740700,-3)</f>
        <v>5741000</v>
      </c>
      <c r="C13" s="12">
        <f>ROUND(([1]!HK_MSW_recycled[[#This Row],[HK total MSW generated (tonnes)]]-[1]!HK_MSW_recycled[[#This Row],[HK total MSW recycled (tonnes)]]), -3)</f>
        <v>3829000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0.33304302386343843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">
        <f>ROUND(5698800,-3)</f>
        <v>5699000</v>
      </c>
      <c r="C14" s="12">
        <f>ROUND(([1]!HK_MSW_recycled[[#This Row],[HK total MSW generated (tonnes)]]-[1]!HK_MSW_recycled[[#This Row],[HK total MSW recycled (tonnes)]]), -3)</f>
        <v>3666000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0.35672925074574485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">
        <f>ROUND(5748200,-3)</f>
        <v>5748000</v>
      </c>
      <c r="C15" s="12">
        <f>ROUND(([1]!HK_MSW_recycled[[#This Row],[HK total MSW generated (tonnes)]]-[1]!HK_MSW_recycled[[#This Row],[HK total MSW recycled (tonnes)]]), -3)</f>
        <v>3917000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0.31854558107167713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">
        <f>ROUND(5948700,-3)</f>
        <v>5949000</v>
      </c>
      <c r="C16" s="12">
        <f>ROUND(([1]!HK_MSW_recycled[[#This Row],[HK total MSW generated (tonnes)]]-[1]!HK_MSW_recycled[[#This Row],[HK total MSW recycled (tonnes)]]),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">
        <f>ROUND(5674700,-3)</f>
        <v>5675000</v>
      </c>
      <c r="C17" s="12">
        <f>ROUND(([1]!HK_MSW_recycled[[#This Row],[HK total MSW generated (tonnes)]]-[1]!HK_MSW_recycled[[#This Row],[HK total MSW recycled (tonnes)]]),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">
        <f>ROUND(5493700,-3)</f>
        <v>5494000</v>
      </c>
      <c r="C18" s="12">
        <f>ROUND(([1]!HK_MSW_recycled[[#This Row],[HK total MSW generated (tonnes)]]-[1]!HK_MSW_recycled[[#This Row],[HK total MSW recycled (tonnes)]]),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">
        <f>ROUND(5986500,-3)</f>
        <v>5987000</v>
      </c>
      <c r="C19" s="12">
        <f>ROUND(([1]!HK_MSW_recycled[[#This Row],[HK total MSW generated (tonnes)]]-[1]!HK_MSW_recycled[[#This Row],[HK total MSW recycled (tonnes)]]),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">
        <f>ROUND(5974700,-3)</f>
        <v>5975000</v>
      </c>
      <c r="C20" s="12">
        <f>ROUND(([1]!HK_MSW_recycled[[#This Row],[HK total MSW generated (tonnes)]]-[1]!HK_MSW_recycled[[#This Row],[HK total MSW recycled (tonnes)]]),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">
        <f>ROUND(5941200,-3)</f>
        <v>5941000</v>
      </c>
      <c r="C21" s="12">
        <f>ROUND(([1]!HK_MSW_recycled[[#This Row],[HK total MSW generated (tonnes)]]-[1]!HK_MSW_recycled[[#This Row],[HK total MSW recycled (tonnes)]]), -3)</f>
        <v>3972000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0.33142568591146271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zoomScale="156" zoomScaleNormal="100" workbookViewId="0">
      <selection activeCell="G17" sqref="G17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2025-11-06T07:57:12Z</dcterms:modified>
</cp:coreProperties>
</file>