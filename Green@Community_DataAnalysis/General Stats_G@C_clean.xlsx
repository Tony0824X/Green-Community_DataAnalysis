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1234/Desktop/Green-Community_DataAnalysis/Green@Community_DataAnalysis/"/>
    </mc:Choice>
  </mc:AlternateContent>
  <xr:revisionPtr revIDLastSave="0" documentId="13_ncr:1_{72722817-6ECD-0A41-93E9-5640A69342D4}" xr6:coauthVersionLast="47" xr6:coauthVersionMax="47" xr10:uidLastSave="{00000000-0000-0000-0000-000000000000}"/>
  <bookViews>
    <workbookView xWindow="0" yWindow="740" windowWidth="29400" windowHeight="17300" xr2:uid="{A0A820B5-DA86-4E1B-B6C8-66C6896BAAAC}"/>
  </bookViews>
  <sheets>
    <sheet name="HK MSW Volume and Recycling Rat" sheetId="2" r:id="rId1"/>
    <sheet name="G@C Recyclables Collection Volu" sheetId="6" r:id="rId2"/>
    <sheet name="HK population by age grp" sheetId="7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L20" i="2" l="1"/>
  <c r="L21" i="2"/>
  <c r="J13" i="2"/>
  <c r="P17" i="2"/>
  <c r="C2" i="6"/>
  <c r="B2" i="6"/>
  <c r="C5" i="6"/>
  <c r="B5" i="6"/>
  <c r="C4" i="6"/>
  <c r="B4" i="6"/>
  <c r="J15" i="2"/>
  <c r="J14" i="2"/>
  <c r="C3" i="6"/>
  <c r="B3" i="6"/>
  <c r="G14" i="2"/>
  <c r="H14" i="2" s="1"/>
  <c r="F14" i="2" s="1"/>
  <c r="H13" i="2"/>
  <c r="F13" i="2" s="1"/>
  <c r="B8" i="6"/>
  <c r="B9" i="6"/>
  <c r="B7" i="6"/>
  <c r="D12" i="6"/>
  <c r="B12" i="6" s="1"/>
  <c r="D11" i="6"/>
  <c r="B11" i="6" s="1"/>
  <c r="D10" i="6"/>
  <c r="B10" i="6" s="1"/>
  <c r="P15" i="2"/>
  <c r="P14" i="2"/>
  <c r="P13" i="2"/>
  <c r="R2" i="2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B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L19" i="2"/>
  <c r="L23" i="2"/>
  <c r="L18" i="2"/>
  <c r="G20" i="2"/>
  <c r="H20" i="2" s="1"/>
  <c r="G19" i="2"/>
  <c r="H19" i="2" s="1"/>
  <c r="F19" i="2" s="1"/>
  <c r="G18" i="2"/>
  <c r="H18" i="2" s="1"/>
  <c r="F18" i="2" s="1"/>
  <c r="G17" i="2"/>
  <c r="H17" i="2" s="1"/>
  <c r="F17" i="2" s="1"/>
  <c r="G16" i="2"/>
  <c r="H16" i="2" s="1"/>
  <c r="F16" i="2" s="1"/>
  <c r="G15" i="2"/>
  <c r="H15" i="2" s="1"/>
  <c r="F15" i="2" s="1"/>
  <c r="G12" i="2"/>
  <c r="H12" i="2" s="1"/>
  <c r="F12" i="2" s="1"/>
  <c r="G11" i="2"/>
  <c r="H11" i="2" s="1"/>
  <c r="F11" i="2" s="1"/>
  <c r="G10" i="2"/>
  <c r="H10" i="2" s="1"/>
  <c r="F10" i="2" s="1"/>
  <c r="G9" i="2"/>
  <c r="H9" i="2" s="1"/>
  <c r="F9" i="2" s="1"/>
  <c r="G8" i="2"/>
  <c r="H8" i="2" s="1"/>
  <c r="F8" i="2" s="1"/>
  <c r="G7" i="2"/>
  <c r="H7" i="2" s="1"/>
  <c r="F7" i="2" s="1"/>
  <c r="G6" i="2"/>
  <c r="H6" i="2" s="1"/>
  <c r="F6" i="2" s="1"/>
  <c r="G5" i="2"/>
  <c r="H5" i="2" s="1"/>
  <c r="F5" i="2" s="1"/>
  <c r="G4" i="2"/>
  <c r="G3" i="2"/>
  <c r="G21" i="2"/>
  <c r="H21" i="2" s="1"/>
  <c r="K21" i="2"/>
  <c r="K16" i="2"/>
  <c r="E16" i="2"/>
  <c r="K15" i="2"/>
  <c r="K14" i="2"/>
  <c r="E8" i="2"/>
  <c r="E3" i="2"/>
  <c r="E4" i="2"/>
  <c r="E5" i="2"/>
  <c r="K17" i="2"/>
  <c r="K18" i="2"/>
  <c r="K19" i="2"/>
  <c r="K20" i="2"/>
  <c r="E7" i="2"/>
  <c r="E2" i="2"/>
  <c r="E6" i="2"/>
  <c r="K13" i="2" l="1"/>
  <c r="E9" i="2"/>
  <c r="F21" i="2"/>
  <c r="H4" i="2"/>
  <c r="F4" i="2" s="1"/>
  <c r="H3" i="2"/>
  <c r="F3" i="2" s="1"/>
  <c r="F20" i="2"/>
  <c r="E12" i="2"/>
  <c r="E10" i="2"/>
  <c r="E17" i="2"/>
  <c r="E19" i="2"/>
  <c r="E13" i="2"/>
  <c r="E20" i="2"/>
  <c r="E14" i="2"/>
  <c r="E15" i="2"/>
  <c r="E21" i="2"/>
  <c r="E11" i="2"/>
  <c r="E18" i="2"/>
</calcChain>
</file>

<file path=xl/sharedStrings.xml><?xml version="1.0" encoding="utf-8"?>
<sst xmlns="http://schemas.openxmlformats.org/spreadsheetml/2006/main" count="61" uniqueCount="60">
  <si>
    <t>Year</t>
  </si>
  <si>
    <t>HK total MSW recycling rate</t>
  </si>
  <si>
    <t>HK GDP</t>
  </si>
  <si>
    <t>use xxxk to reduce the zeros</t>
  </si>
  <si>
    <t>HK total MSW disposed (tonnes)</t>
  </si>
  <si>
    <t>HK total MSW generated (tonnes)</t>
  </si>
  <si>
    <t>G@C total amount of visiting</t>
  </si>
  <si>
    <t>HK total domestic waste generated (tonnes)</t>
  </si>
  <si>
    <t>HK total domestic waste disposed (tonnes)</t>
  </si>
  <si>
    <t>HK total domestic waste recycled (tonnes)</t>
  </si>
  <si>
    <t>HK total domestic waste recycling rate</t>
  </si>
  <si>
    <t>GREEN$ ePIS total registered user</t>
  </si>
  <si>
    <t>2024-25</t>
  </si>
  <si>
    <t>2023-24</t>
  </si>
  <si>
    <t>2022-23</t>
  </si>
  <si>
    <t>2021-22</t>
  </si>
  <si>
    <t>2020-21</t>
  </si>
  <si>
    <t>2019-20</t>
  </si>
  <si>
    <t>2018-19</t>
  </si>
  <si>
    <t>並沒有載列覆蓋率如何計算</t>
  </si>
  <si>
    <t>Number of G@C collection points</t>
  </si>
  <si>
    <t>0 - 4</t>
  </si>
  <si>
    <t>80 - 84</t>
  </si>
  <si>
    <t>75 - 79</t>
  </si>
  <si>
    <t>70 - 74</t>
  </si>
  <si>
    <t>65 - 69</t>
  </si>
  <si>
    <t>60 - 64</t>
  </si>
  <si>
    <t>55 - 59</t>
  </si>
  <si>
    <t>50 - 54</t>
  </si>
  <si>
    <t>45 - 49</t>
  </si>
  <si>
    <t>40 - 44</t>
  </si>
  <si>
    <t>35 - 39</t>
  </si>
  <si>
    <t>30 - 34</t>
  </si>
  <si>
    <t>25 - 29</t>
  </si>
  <si>
    <t>5 - 9</t>
  </si>
  <si>
    <t>10 - 14</t>
  </si>
  <si>
    <t>15 - 19</t>
  </si>
  <si>
    <t>20 - 24</t>
  </si>
  <si>
    <t>Year (mid)</t>
  </si>
  <si>
    <t>≥ 85</t>
  </si>
  <si>
    <t>2025-26 (budget)</t>
  </si>
  <si>
    <t>G@C store rental cost</t>
  </si>
  <si>
    <t>G@C station total operating cost</t>
  </si>
  <si>
    <t>G@C store total operating cost</t>
  </si>
  <si>
    <t>Number of G@C station</t>
  </si>
  <si>
    <t>Number of G@C store</t>
  </si>
  <si>
    <t>Number of G@C spots</t>
  </si>
  <si>
    <t>2017-18</t>
  </si>
  <si>
    <t>GREEN$ total gift procurement cost</t>
  </si>
  <si>
    <t>GREEN$ ePIS total operating cost</t>
  </si>
  <si>
    <t>2016-17</t>
  </si>
  <si>
    <t>2015-16</t>
  </si>
  <si>
    <t>HK total population (mid-year)</t>
  </si>
  <si>
    <t>Male population (mid-year)</t>
  </si>
  <si>
    <t>Female population (mid-year)</t>
  </si>
  <si>
    <t>HK GDP per capita</t>
    <phoneticPr fontId="1" type="noConversion"/>
  </si>
  <si>
    <t>G@C total operating cost</t>
    <phoneticPr fontId="6" type="noConversion"/>
  </si>
  <si>
    <t>G@C share of HK total MSW recycling</t>
    <phoneticPr fontId="1" type="noConversion"/>
  </si>
  <si>
    <t>G@C recyclables collection volume (tonnes)</t>
    <phoneticPr fontId="1" type="noConversion"/>
  </si>
  <si>
    <t>HK total MSW recycled (tonnes)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</si>
</sst>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0.0;\-#0.0;0.0"/>
    <numFmt numFmtId="177" formatCode="#,##0_ ;\-#,##0\ "/>
    <numFmt numFmtId="178" formatCode="#,##0.0"/>
  </numFmts>
  <fonts count="8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1.5"/>
      <color rgb="FF000000"/>
      <name val="新細明體"/>
      <family val="2"/>
      <scheme val="minor"/>
    </font>
    <font>
      <sz val="11"/>
      <color theme="1"/>
      <name val="Aptos Narrow"/>
      <family val="2"/>
    </font>
    <font>
      <sz val="11.5"/>
      <color rgb="FF000000"/>
      <name val="Aptos Narrow"/>
      <family val="2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176" fontId="3" fillId="0" borderId="0" xfId="1" applyNumberFormat="1" applyFont="1" applyAlignment="1">
      <alignment horizontal="right" vertical="center" wrapText="1"/>
    </xf>
    <xf numFmtId="0" fontId="4" fillId="0" borderId="0" xfId="0" applyFont="1"/>
    <xf numFmtId="49" fontId="4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wrapText="1"/>
    </xf>
    <xf numFmtId="177" fontId="5" fillId="0" borderId="0" xfId="1" applyNumberFormat="1" applyFont="1" applyAlignment="1">
      <alignment horizontal="right" vertical="center" wrapText="1"/>
    </xf>
    <xf numFmtId="3" fontId="0" fillId="0" borderId="0" xfId="0" applyNumberFormat="1" applyAlignment="1">
      <alignment wrapText="1"/>
    </xf>
    <xf numFmtId="3" fontId="0" fillId="2" borderId="0" xfId="0" applyNumberFormat="1" applyFill="1"/>
    <xf numFmtId="1" fontId="0" fillId="0" borderId="1" xfId="0" applyNumberFormat="1" applyBorder="1"/>
    <xf numFmtId="3" fontId="0" fillId="0" borderId="1" xfId="0" applyNumberFormat="1" applyBorder="1"/>
    <xf numFmtId="9" fontId="0" fillId="0" borderId="1" xfId="0" applyNumberFormat="1" applyBorder="1"/>
    <xf numFmtId="178" fontId="0" fillId="0" borderId="1" xfId="0" applyNumberFormat="1" applyBorder="1"/>
    <xf numFmtId="10" fontId="0" fillId="0" borderId="1" xfId="0" applyNumberFormat="1" applyBorder="1"/>
    <xf numFmtId="0" fontId="0" fillId="2" borderId="1" xfId="0" applyFill="1" applyBorder="1"/>
    <xf numFmtId="3" fontId="0" fillId="2" borderId="1" xfId="0" applyNumberFormat="1" applyFill="1" applyBorder="1"/>
    <xf numFmtId="9" fontId="0" fillId="2" borderId="1" xfId="0" applyNumberFormat="1" applyFill="1" applyBorder="1"/>
    <xf numFmtId="10" fontId="0" fillId="2" borderId="1" xfId="0" applyNumberFormat="1" applyFill="1" applyBorder="1"/>
    <xf numFmtId="178" fontId="0" fillId="2" borderId="1" xfId="0" applyNumberFormat="1" applyFill="1" applyBorder="1"/>
    <xf numFmtId="3" fontId="0" fillId="2" borderId="0" xfId="0" applyNumberFormat="1" applyFill="1" applyAlignment="1">
      <alignment wrapText="1"/>
    </xf>
    <xf numFmtId="3" fontId="0" fillId="3" borderId="1" xfId="0" applyNumberFormat="1" applyFill="1" applyBorder="1"/>
    <xf numFmtId="9" fontId="0" fillId="3" borderId="1" xfId="0" applyNumberFormat="1" applyFill="1" applyBorder="1"/>
    <xf numFmtId="10" fontId="0" fillId="3" borderId="1" xfId="0" applyNumberFormat="1" applyFill="1" applyBorder="1"/>
    <xf numFmtId="3" fontId="0" fillId="4" borderId="1" xfId="0" applyNumberFormat="1" applyFill="1" applyBorder="1"/>
    <xf numFmtId="0" fontId="0" fillId="4" borderId="1" xfId="0" applyFill="1" applyBorder="1"/>
    <xf numFmtId="0" fontId="7" fillId="0" borderId="0" xfId="2" applyAlignment="1">
      <alignment wrapText="1"/>
    </xf>
    <xf numFmtId="49" fontId="7" fillId="0" borderId="0" xfId="2" applyNumberFormat="1" applyAlignment="1">
      <alignment wrapText="1"/>
    </xf>
  </cellXfs>
  <cellStyles count="3">
    <cellStyle name="一般" xfId="0" builtinId="0"/>
    <cellStyle name="超連結" xfId="2" builtinId="8"/>
    <cellStyle name="Normal 2" xfId="1" xr:uid="{D948AE7C-2F01-43B5-A859-166431145FCF}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rgb="FF000000"/>
        <name val="Aptos Narrow"/>
        <family val="2"/>
        <scheme val="none"/>
      </font>
      <numFmt numFmtId="177" formatCode="#,##0_ ;\-#,##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rgb="FF000000"/>
        <name val="Aptos Narrow"/>
        <family val="2"/>
        <scheme val="none"/>
      </font>
      <numFmt numFmtId="177" formatCode="#,##0_ ;\-#,##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rgb="FF000000"/>
        <name val="Aptos Narrow"/>
        <family val="2"/>
        <scheme val="none"/>
      </font>
      <numFmt numFmtId="177" formatCode="#,##0_ ;\-#,##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rgb="FF000000"/>
        <name val="Aptos Narrow"/>
        <family val="2"/>
        <scheme val="none"/>
      </font>
      <numFmt numFmtId="177" formatCode="#,##0_ ;\-#,##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rgb="FF000000"/>
        <name val="Aptos Narrow"/>
        <family val="2"/>
        <scheme val="none"/>
      </font>
      <numFmt numFmtId="177" formatCode="#,##0_ ;\-#,##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rgb="FF000000"/>
        <name val="Aptos Narrow"/>
        <family val="2"/>
        <scheme val="none"/>
      </font>
      <numFmt numFmtId="177" formatCode="#,##0_ ;\-#,##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rgb="FF000000"/>
        <name val="Aptos Narrow"/>
        <family val="2"/>
        <scheme val="none"/>
      </font>
      <numFmt numFmtId="177" formatCode="#,##0_ ;\-#,##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rgb="FF000000"/>
        <name val="Aptos Narrow"/>
        <family val="2"/>
        <scheme val="none"/>
      </font>
      <numFmt numFmtId="177" formatCode="#,##0_ ;\-#,##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rgb="FF000000"/>
        <name val="Aptos Narrow"/>
        <family val="2"/>
        <scheme val="none"/>
      </font>
      <numFmt numFmtId="177" formatCode="#,##0_ ;\-#,##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rgb="FF000000"/>
        <name val="Aptos Narrow"/>
        <family val="2"/>
        <scheme val="none"/>
      </font>
      <numFmt numFmtId="177" formatCode="#,##0_ ;\-#,##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rgb="FF000000"/>
        <name val="Aptos Narrow"/>
        <family val="2"/>
        <scheme val="none"/>
      </font>
      <numFmt numFmtId="177" formatCode="#,##0_ ;\-#,##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rgb="FF000000"/>
        <name val="Aptos Narrow"/>
        <family val="2"/>
        <scheme val="none"/>
      </font>
      <numFmt numFmtId="177" formatCode="#,##0_ ;\-#,##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rgb="FF000000"/>
        <name val="Aptos Narrow"/>
        <family val="2"/>
        <scheme val="none"/>
      </font>
      <numFmt numFmtId="177" formatCode="#,##0_ ;\-#,##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rgb="FF000000"/>
        <name val="Aptos Narrow"/>
        <family val="2"/>
        <scheme val="none"/>
      </font>
      <numFmt numFmtId="177" formatCode="#,##0_ ;\-#,##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rgb="FF000000"/>
        <name val="Aptos Narrow"/>
        <family val="2"/>
        <scheme val="none"/>
      </font>
      <numFmt numFmtId="177" formatCode="#,##0_ ;\-#,##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rgb="FF000000"/>
        <name val="Aptos Narrow"/>
        <family val="2"/>
        <scheme val="none"/>
      </font>
      <numFmt numFmtId="177" formatCode="#,##0_ ;\-#,##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rgb="FF000000"/>
        <name val="Aptos Narrow"/>
        <family val="2"/>
        <scheme val="none"/>
      </font>
      <numFmt numFmtId="177" formatCode="#,##0_ ;\-#,##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rgb="FF000000"/>
        <name val="Aptos Narrow"/>
        <family val="2"/>
        <scheme val="none"/>
      </font>
      <numFmt numFmtId="177" formatCode="#,##0_ ;\-#,##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0" formatCode="@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3" formatCode="#,##0"/>
    </dxf>
    <dxf>
      <numFmt numFmtId="13" formatCode="0%"/>
    </dxf>
    <dxf>
      <numFmt numFmtId="3" formatCode="#,##0"/>
    </dxf>
    <dxf>
      <numFmt numFmtId="3" formatCode="#,##0"/>
    </dxf>
    <dxf>
      <numFmt numFmtId="3" formatCode="#,##0"/>
    </dxf>
    <dxf>
      <numFmt numFmtId="13" formatCode="0%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257735</xdr:colOff>
      <xdr:row>26</xdr:row>
      <xdr:rowOff>20731</xdr:rowOff>
    </xdr:from>
    <xdr:to>
      <xdr:col>4</xdr:col>
      <xdr:colOff>901856</xdr:colOff>
      <xdr:row>41</xdr:row>
      <xdr:rowOff>39878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DD9FA6-9194-C212-649C-A7152F1D05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257"/>
        <a:stretch>
          <a:fillRect/>
        </a:stretch>
      </xdr:blipFill>
      <xdr:spPr>
        <a:xfrm>
          <a:off x="257735" y="4861672"/>
          <a:ext cx="3731342" cy="2708558"/>
        </a:xfrm>
        <a:prstGeom prst="rect">
          <a:avLst/>
        </a:prstGeom>
      </xdr:spPr>
    </xdr:pic>
    <xdr:clientData/>
  </xdr:twoCellAnchor>
  <xdr:twoCellAnchor editAs="oneCell">
    <xdr:from>
      <xdr:col>5</xdr:col>
      <xdr:colOff>61632</xdr:colOff>
      <xdr:row>26</xdr:row>
      <xdr:rowOff>4418</xdr:rowOff>
    </xdr:from>
    <xdr:to>
      <xdr:col>8</xdr:col>
      <xdr:colOff>313587</xdr:colOff>
      <xdr:row>42</xdr:row>
      <xdr:rowOff>64648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3BCC70-0916-47BE-8CA0-09CDF36A2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79794" y="5461683"/>
          <a:ext cx="4018661" cy="2928937"/>
        </a:xfrm>
        <a:prstGeom prst="rect">
          <a:avLst/>
        </a:prstGeom>
      </xdr:spPr>
    </xdr:pic>
    <xdr:clientData/>
  </xdr:twoCellAnchor>
  <xdr:twoCellAnchor editAs="oneCell">
    <xdr:from>
      <xdr:col>16</xdr:col>
      <xdr:colOff>190244</xdr:colOff>
      <xdr:row>26</xdr:row>
      <xdr:rowOff>102881</xdr:rowOff>
    </xdr:from>
    <xdr:to>
      <xdr:col>22</xdr:col>
      <xdr:colOff>1263806</xdr:colOff>
      <xdr:row>45</xdr:row>
      <xdr:rowOff>31313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2F8787-5D19-67A6-C72F-534EF1601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87244" y="5627381"/>
          <a:ext cx="6639602" cy="3383411"/>
        </a:xfrm>
        <a:prstGeom prst="rect">
          <a:avLst/>
        </a:prstGeom>
      </xdr:spPr>
    </xdr:pic>
    <xdr:clientData/>
  </xdr:twoCellAnchor>
  <xdr:twoCellAnchor editAs="oneCell">
    <xdr:from>
      <xdr:col>8</xdr:col>
      <xdr:colOff>770660</xdr:colOff>
      <xdr:row>26</xdr:row>
      <xdr:rowOff>43296</xdr:rowOff>
    </xdr:from>
    <xdr:to>
      <xdr:col>14</xdr:col>
      <xdr:colOff>474119</xdr:colOff>
      <xdr:row>44</xdr:row>
      <xdr:rowOff>10260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8A6296-655F-BD50-5B07-B2E241B2A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21387" y="5567796"/>
          <a:ext cx="5853545" cy="32401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1234/Downloads/General%20Stats_G@C_clean-2.xlsx" TargetMode="External"/><Relationship Id="rId1" Type="http://schemas.openxmlformats.org/officeDocument/2006/relationships/externalLinkPath" Target="/Users/a1234/Downloads/General%20Stats_G@C_clean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K MSW Volume and Recycling Rat"/>
      <sheetName val="G@C Recyclables Collection Volu"/>
      <sheetName val="General Stats_G@C_clean-2"/>
    </sheet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8FB192-AE45-4E7F-BCCA-6AD124916ACA}" name="HK_MSW_recycled" displayName="HK_MSW_recycled" ref="A1:V23" totalsRowShown="0" headerRowDxfId="54">
  <autoFilter ref="A1:V23" xr:uid="{5F8FB192-AE45-4E7F-BCCA-6AD124916ACA}"/>
  <tableColumns count="22">
    <tableColumn id="1" xr3:uid="{DF81E587-A9A1-40BB-A2CE-54B7244B044C}" name="Year" dataDxfId="53"/>
    <tableColumn id="9" xr3:uid="{6BD8B899-95FA-4324-A72B-A53456D33FAA}" name="HK total MSW generated (tonnes)" dataDxfId="52"/>
    <tableColumn id="10" xr3:uid="{91A7E597-B35D-4E5E-B4C4-22BC3E2C3CA9}" name="HK total MSW disposed (tonnes)" dataDxfId="51"/>
    <tableColumn id="11" xr3:uid="{D6CD36C3-32AE-4F93-9380-39EA5EDF9540}" name="HK total MSW recycled (tonnes)" dataDxfId="50"/>
    <tableColumn id="5" xr3:uid="{9EC83A69-E46D-46A0-A75E-4224817CA9E7}" name="HK total MSW recycling rate" dataDxfId="49"/>
    <tableColumn id="23" xr3:uid="{569A28D1-D034-4155-9D36-15EE4D9C0E42}" name="HK total domestic waste generated (tonnes)" dataDxfId="48">
      <calculatedColumnFormula>HK_MSW_recycled[[#This Row],[HK total domestic waste disposed (tonnes)]]+HK_MSW_recycled[[#This Row],[HK total domestic waste recycled (tonnes)]]</calculatedColumnFormula>
    </tableColumn>
    <tableColumn id="24" xr3:uid="{C2E6C8F8-EB39-4362-B985-F0F2ACF0E714}" name="HK total domestic waste disposed (tonnes)" dataDxfId="47">
      <calculatedColumnFormula>ROUND((6731*365), -3)</calculatedColumnFormula>
    </tableColumn>
    <tableColumn id="26" xr3:uid="{CE38273E-B92A-4CBA-A777-6700CEE53AA0}" name="HK total domestic waste recycled (tonnes)" dataDxfId="46">
      <calculatedColumnFormula>ROUND(HK_MSW_recycled[[#This Row],[HK total domestic waste disposed (tonnes)]]/(1-HK_MSW_recycled[[#This Row],[HK total domestic waste recycling rate]])*HK_MSW_recycled[[#This Row],[HK total domestic waste recycling rate]], -3)</calculatedColumnFormula>
    </tableColumn>
    <tableColumn id="25" xr3:uid="{6D6B5AD9-BFFC-4C5A-B67A-2257AD8E1701}" name="HK total domestic waste recycling rate" dataDxfId="45"/>
    <tableColumn id="6" xr3:uid="{C83F7C1A-9F66-4432-91CE-2E61695CE0AD}" name="G@C recyclables collection volume (tonnes)" dataDxfId="44"/>
    <tableColumn id="7" xr3:uid="{19FE5F75-379F-4EB6-974F-841E9BF901F2}" name="G@C share of HK total MSW recycling" dataDxfId="43"/>
    <tableColumn id="27" xr3:uid="{1B97EB35-9635-4BC7-8E7D-6113B9529122}" name="Number of G@C collection points" dataDxfId="42"/>
    <tableColumn id="3" xr3:uid="{03021CE1-EB5B-4565-893C-E8257DBE9EE2}" name="Number of G@C station" dataDxfId="41"/>
    <tableColumn id="4" xr3:uid="{A1ACC11F-4921-4D7D-A88A-B536AC65620B}" name="Number of G@C store" dataDxfId="40"/>
    <tableColumn id="8" xr3:uid="{F99D4CF4-2FF7-442A-A828-D1C4503C3E72}" name="Number of G@C spots" dataDxfId="39"/>
    <tableColumn id="29" xr3:uid="{337EAED9-6D99-461D-AADC-BE59ADE4D112}" name="G@C total amount of visiting" dataDxfId="38"/>
    <tableColumn id="31" xr3:uid="{9ABA1D7F-DED8-4BC9-A93A-B4994A5A30AE}" name="GREEN$ ePIS total registered user" dataDxfId="37"/>
    <tableColumn id="13" xr3:uid="{A88208ED-4273-4F7B-B729-1F57C59B0ADA}" name="HK total population (mid-year)" dataDxfId="36"/>
    <tableColumn id="14" xr3:uid="{F758DA0D-C083-4BE8-B121-391782D3CCC2}" name="Male population (mid-year)" dataDxfId="35"/>
    <tableColumn id="15" xr3:uid="{5F3F1424-1D8E-43AA-B28F-40D844A82312}" name="Female population (mid-year)" dataDxfId="34"/>
    <tableColumn id="18" xr3:uid="{002C104B-995C-41C7-B0AF-B3BABB5700F4}" name="HK GDP" dataDxfId="33"/>
    <tableColumn id="2" xr3:uid="{8FF64EC3-C8B5-4C79-A54F-374F3141570D}" name="HK GDP per capita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CEE34D-5CAF-40FC-813F-8E28DA8BB275}" name="GreenCommunity" displayName="GreenCommunity" ref="A1:G12" totalsRowShown="0" headerRowDxfId="31">
  <autoFilter ref="A1:G12" xr:uid="{EECEE34D-5CAF-40FC-813F-8E28DA8BB275}"/>
  <tableColumns count="7">
    <tableColumn id="1" xr3:uid="{D7A131A2-11DC-423E-864D-2125977DB61B}" name="Year"/>
    <tableColumn id="2" xr3:uid="{E1673EC3-6484-4014-9791-ACF6FA2E3D23}" name="G@C total operating cost" dataDxfId="30" totalsRowDxfId="29"/>
    <tableColumn id="4" xr3:uid="{3623AB12-BB87-46C4-95C9-14DD1B4714E6}" name="G@C station total operating cost" dataDxfId="28" totalsRowDxfId="27"/>
    <tableColumn id="5" xr3:uid="{30C9156D-FEBB-42F4-BC3A-92CCEEEC5FCB}" name="G@C store total operating cost" dataDxfId="26" totalsRowDxfId="25"/>
    <tableColumn id="3" xr3:uid="{BD124BDA-B194-4A10-B5AA-A92F26E8288E}" name="G@C store rental cost" dataDxfId="24" totalsRowDxfId="23"/>
    <tableColumn id="10" xr3:uid="{CAA20467-C652-4846-A648-528B66E13E29}" name="GREEN$ ePIS total operating cost" dataDxfId="22"/>
    <tableColumn id="9" xr3:uid="{E3054813-7322-49A4-A61E-3818B00DA182}" name="GREEN$ total gift procurement cost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BE9075-A367-4881-BE5E-A0B2618908C7}" name="Table3" displayName="Table3" ref="A1:S22" totalsRowShown="0" headerRowDxfId="20" dataDxfId="19" dataCellStyle="Normal 2">
  <autoFilter ref="A1:S22" xr:uid="{50BE9075-A367-4881-BE5E-A0B2618908C7}"/>
  <tableColumns count="19">
    <tableColumn id="1" xr3:uid="{A1741669-16D6-46D7-A05D-2A8C8611F39C}" name="Year (mid)" dataDxfId="18"/>
    <tableColumn id="2" xr3:uid="{6040211C-F122-48FB-A48C-F4A8E0D93BA6}" name="0 - 4" dataDxfId="17" dataCellStyle="Normal 2"/>
    <tableColumn id="3" xr3:uid="{D71342E3-A66D-4D94-B8B0-3E07294DD904}" name="5 - 9" dataDxfId="16" dataCellStyle="Normal 2"/>
    <tableColumn id="4" xr3:uid="{08406258-5360-480A-BB0E-5C9FD5F37676}" name="10 - 14" dataDxfId="15" dataCellStyle="Normal 2"/>
    <tableColumn id="5" xr3:uid="{062D5F29-935C-4B56-AD70-310849028E06}" name="15 - 19" dataDxfId="14" dataCellStyle="Normal 2"/>
    <tableColumn id="6" xr3:uid="{3FEBEE22-5121-4106-90A1-BDD15540387B}" name="20 - 24" dataDxfId="13" dataCellStyle="Normal 2"/>
    <tableColumn id="7" xr3:uid="{4058023F-8BEC-42A5-8130-59FC700602F3}" name="25 - 29" dataDxfId="12" dataCellStyle="Normal 2"/>
    <tableColumn id="8" xr3:uid="{C6B2A792-A936-4951-AFDA-5ABC94136E00}" name="30 - 34" dataDxfId="11" dataCellStyle="Normal 2"/>
    <tableColumn id="9" xr3:uid="{A9458A9A-FBDD-46CF-AF40-AF0254D2E6E7}" name="35 - 39" dataDxfId="10" dataCellStyle="Normal 2"/>
    <tableColumn id="10" xr3:uid="{1CDEFDDB-BD9E-4E36-9EE1-CFE1F2F83FF7}" name="40 - 44" dataDxfId="9" dataCellStyle="Normal 2"/>
    <tableColumn id="11" xr3:uid="{3E57C474-4F5A-4955-8FF9-9BC4DFA09ED8}" name="45 - 49" dataDxfId="8" dataCellStyle="Normal 2"/>
    <tableColumn id="12" xr3:uid="{EE3E8644-3872-4036-9CDB-FE4A2E7946D1}" name="50 - 54" dataDxfId="7" dataCellStyle="Normal 2"/>
    <tableColumn id="13" xr3:uid="{9DD64F0F-1592-4282-9BD0-516C5682AF53}" name="55 - 59" dataDxfId="6" dataCellStyle="Normal 2"/>
    <tableColumn id="14" xr3:uid="{E4ABC581-8006-4292-A791-5B8D1AD42A95}" name="60 - 64" dataDxfId="5" dataCellStyle="Normal 2"/>
    <tableColumn id="15" xr3:uid="{6714FB0F-3158-4340-9CA6-E762D76D5993}" name="65 - 69" dataDxfId="4" dataCellStyle="Normal 2"/>
    <tableColumn id="16" xr3:uid="{B1639D5F-C5A3-4480-9BBD-902AB047A575}" name="70 - 74" dataDxfId="3" dataCellStyle="Normal 2"/>
    <tableColumn id="17" xr3:uid="{CD6EFDD7-31C5-4ACE-B2E7-B6B9BE535FD0}" name="75 - 79" dataDxfId="2" dataCellStyle="Normal 2"/>
    <tableColumn id="18" xr3:uid="{37535872-31D7-4C23-A914-4CB1F8FCB138}" name="80 - 84" dataDxfId="1" dataCellStyle="Normal 2"/>
    <tableColumn id="19" xr3:uid="{B2B8EC09-8630-4FF0-89D9-EA848262B795}" name="≥ 85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@C%20recyclables%20collection%20volume%20(tonnes)" TargetMode="External"/><Relationship Id="rId1" Type="http://schemas.openxmlformats.org/officeDocument/2006/relationships/hyperlink" Target="mailto:G@C%20share%20of%20HK%20total%20MSW%20recycling" TargetMode="Externa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G@C%20total%20operating%20cos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F893-4279-4B89-A6F5-525B73B9EA77}">
  <sheetPr codeName="Sheet2"/>
  <dimension ref="A1:V26"/>
  <sheetViews>
    <sheetView tabSelected="1" zoomScale="90" zoomScaleNormal="90" workbookViewId="0">
      <selection activeCell="N25" sqref="N25"/>
    </sheetView>
  </sheetViews>
  <sheetFormatPr baseColWidth="10" defaultColWidth="9" defaultRowHeight="14"/>
  <cols>
    <col min="1" max="1" width="6.59765625" bestFit="1" customWidth="1"/>
    <col min="2" max="2" width="12" customWidth="1"/>
    <col min="3" max="3" width="12.3984375" customWidth="1"/>
    <col min="4" max="4" width="12.19921875" customWidth="1"/>
    <col min="5" max="5" width="15.59765625" bestFit="1" customWidth="1"/>
    <col min="6" max="6" width="18" customWidth="1"/>
    <col min="7" max="7" width="17.3984375" customWidth="1"/>
    <col min="8" max="8" width="17.19921875" customWidth="1"/>
    <col min="9" max="9" width="16.19921875" customWidth="1"/>
    <col min="10" max="10" width="18.19921875" bestFit="1" customWidth="1"/>
    <col min="11" max="11" width="15" customWidth="1"/>
    <col min="12" max="12" width="13.3984375" customWidth="1"/>
    <col min="13" max="13" width="10" customWidth="1"/>
    <col min="14" max="15" width="13.3984375" customWidth="1"/>
    <col min="16" max="16" width="15.796875" customWidth="1"/>
    <col min="17" max="17" width="13" customWidth="1"/>
    <col min="18" max="18" width="15.59765625" bestFit="1" customWidth="1"/>
    <col min="19" max="19" width="12" customWidth="1"/>
    <col min="20" max="21" width="12.19921875" bestFit="1" customWidth="1"/>
    <col min="22" max="22" width="12.59765625" bestFit="1" customWidth="1"/>
    <col min="23" max="34" width="28" bestFit="1" customWidth="1"/>
    <col min="35" max="35" width="32.3984375" bestFit="1" customWidth="1"/>
    <col min="36" max="37" width="31.3984375" bestFit="1" customWidth="1"/>
    <col min="38" max="38" width="25.3984375" bestFit="1" customWidth="1"/>
  </cols>
  <sheetData>
    <row r="1" spans="1:22" s="2" customFormat="1" ht="81" customHeight="1">
      <c r="A1" s="7" t="s">
        <v>0</v>
      </c>
      <c r="B1" s="7" t="s">
        <v>5</v>
      </c>
      <c r="C1" s="7" t="s">
        <v>4</v>
      </c>
      <c r="D1" s="7" t="s">
        <v>59</v>
      </c>
      <c r="E1" s="7" t="s">
        <v>1</v>
      </c>
      <c r="F1" s="7" t="s">
        <v>7</v>
      </c>
      <c r="G1" s="7" t="s">
        <v>8</v>
      </c>
      <c r="H1" s="7" t="s">
        <v>9</v>
      </c>
      <c r="I1" s="7" t="s">
        <v>10</v>
      </c>
      <c r="J1" s="27" t="s">
        <v>58</v>
      </c>
      <c r="K1" s="28" t="s">
        <v>57</v>
      </c>
      <c r="L1" s="7" t="s">
        <v>20</v>
      </c>
      <c r="M1" s="7" t="s">
        <v>44</v>
      </c>
      <c r="N1" s="7" t="s">
        <v>45</v>
      </c>
      <c r="O1" s="7" t="s">
        <v>46</v>
      </c>
      <c r="P1" s="7" t="s">
        <v>6</v>
      </c>
      <c r="Q1" s="7" t="s">
        <v>11</v>
      </c>
      <c r="R1" s="7" t="s">
        <v>52</v>
      </c>
      <c r="S1" s="7" t="s">
        <v>53</v>
      </c>
      <c r="T1" s="7" t="s">
        <v>54</v>
      </c>
      <c r="U1" s="7" t="s">
        <v>2</v>
      </c>
      <c r="V1" s="7" t="s">
        <v>55</v>
      </c>
    </row>
    <row r="2" spans="1:22">
      <c r="A2" s="11">
        <v>2004</v>
      </c>
      <c r="B2" s="12">
        <f>[1]!HK_MSW_recycled[[#This Row],[HK total MSW disposed (tonnes)]]+[1]!HK_MSW_recycled[[#This Row],[HK total MSW recycled (tonnes)]]</f>
        <v>5704000</v>
      </c>
      <c r="C2" s="12">
        <f>ROUND((9288*366), -3)</f>
        <v>3399000</v>
      </c>
      <c r="D2" s="12">
        <v>2305000</v>
      </c>
      <c r="E2" s="13">
        <f>HK_MSW_recycled[[#This Row],[HK total MSW recycled (tonnes)]]/HK_MSW_recycled[[#This Row],[HK total MSW generated (tonnes)]]</f>
        <v>0.40410238429172513</v>
      </c>
      <c r="F2" s="12"/>
      <c r="G2" s="12"/>
      <c r="H2" s="12"/>
      <c r="I2" s="13"/>
      <c r="J2" s="20"/>
      <c r="K2" s="19"/>
      <c r="L2" s="17"/>
      <c r="M2" s="17"/>
      <c r="N2" s="17"/>
      <c r="O2" s="17"/>
      <c r="P2" s="17"/>
      <c r="Q2" s="17"/>
      <c r="R2" s="12">
        <f>HK_MSW_recycled[[#This Row],[Male population (mid-year)]]+HK_MSW_recycled[[#This Row],[Female population (mid-year)]]</f>
        <v>6882600</v>
      </c>
      <c r="S2" s="12">
        <v>3315500</v>
      </c>
      <c r="T2" s="12">
        <v>3567100</v>
      </c>
      <c r="U2" s="12">
        <v>1316949</v>
      </c>
      <c r="V2" s="12">
        <v>194140</v>
      </c>
    </row>
    <row r="3" spans="1:22">
      <c r="A3" s="11">
        <v>2005</v>
      </c>
      <c r="B3" s="12">
        <f>[1]!HK_MSW_recycled[[#This Row],[HK total MSW disposed (tonnes)]]+[1]!HK_MSW_recycled[[#This Row],[HK total MSW recycled (tonnes)]]</f>
        <v>6017000</v>
      </c>
      <c r="C3" s="12">
        <f>ROUND((9377*365), -3)</f>
        <v>3423000</v>
      </c>
      <c r="D3" s="12">
        <v>2594000</v>
      </c>
      <c r="E3" s="13">
        <f>HK_MSW_recycled[[#This Row],[HK total MSW recycled (tonnes)]]/HK_MSW_recycled[[#This Row],[HK total MSW generated (tonnes)]]</f>
        <v>0.43111184975901612</v>
      </c>
      <c r="F3" s="12">
        <f>HK_MSW_recycled[[#This Row],[HK total domestic waste disposed (tonnes)]]+HK_MSW_recycled[[#This Row],[HK total domestic waste recycled (tonnes)]]</f>
        <v>3461000</v>
      </c>
      <c r="G3" s="12">
        <f>ROUND((6828*365), -3)</f>
        <v>2492000</v>
      </c>
      <c r="H3" s="12">
        <f>ROUND(HK_MSW_recycled[[#This Row],[HK total domestic waste disposed (tonnes)]]/(1-HK_MSW_recycled[[#This Row],[HK total domestic waste recycling rate]])*HK_MSW_recycled[[#This Row],[HK total domestic waste recycling rate]], -3)</f>
        <v>969000</v>
      </c>
      <c r="I3" s="13">
        <v>0.28000000000000003</v>
      </c>
      <c r="J3" s="20"/>
      <c r="K3" s="19"/>
      <c r="L3" s="17"/>
      <c r="M3" s="17"/>
      <c r="N3" s="17"/>
      <c r="O3" s="17"/>
      <c r="P3" s="17"/>
      <c r="Q3" s="17"/>
      <c r="R3" s="12">
        <v>6813200</v>
      </c>
      <c r="S3" s="12">
        <v>3264000</v>
      </c>
      <c r="T3" s="12">
        <v>3549200</v>
      </c>
      <c r="U3" s="12">
        <v>1412125</v>
      </c>
      <c r="V3" s="12">
        <v>207263</v>
      </c>
    </row>
    <row r="4" spans="1:22">
      <c r="A4" s="11">
        <v>2006</v>
      </c>
      <c r="B4" s="12">
        <f>[1]!HK_MSW_recycled[[#This Row],[HK total MSW disposed (tonnes)]]+[1]!HK_MSW_recycled[[#This Row],[HK total MSW recycled (tonnes)]]</f>
        <v>6228000</v>
      </c>
      <c r="C4" s="12">
        <f>ROUND((9279*365), -3)</f>
        <v>3387000</v>
      </c>
      <c r="D4" s="12">
        <v>2841000</v>
      </c>
      <c r="E4" s="13">
        <f>HK_MSW_recycled[[#This Row],[HK total MSW recycled (tonnes)]]/HK_MSW_recycled[[#This Row],[HK total MSW generated (tonnes)]]</f>
        <v>0.45616570327552985</v>
      </c>
      <c r="F4" s="12">
        <f>HK_MSW_recycled[[#This Row],[HK total domestic waste disposed (tonnes)]]+HK_MSW_recycled[[#This Row],[HK total domestic waste recycled (tonnes)]]</f>
        <v>3560000</v>
      </c>
      <c r="G4" s="12">
        <f>ROUND((6634*365), -3)</f>
        <v>2421000</v>
      </c>
      <c r="H4" s="12">
        <f>ROUND(HK_MSW_recycled[[#This Row],[HK total domestic waste disposed (tonnes)]]/(1-HK_MSW_recycled[[#This Row],[HK total domestic waste recycling rate]])*HK_MSW_recycled[[#This Row],[HK total domestic waste recycling rate]], -3)</f>
        <v>1139000</v>
      </c>
      <c r="I4" s="13">
        <v>0.32</v>
      </c>
      <c r="J4" s="20"/>
      <c r="K4" s="19"/>
      <c r="L4" s="17"/>
      <c r="M4" s="17"/>
      <c r="N4" s="17"/>
      <c r="O4" s="17"/>
      <c r="P4" s="17"/>
      <c r="Q4" s="17"/>
      <c r="R4" s="12">
        <v>6857100</v>
      </c>
      <c r="S4" s="12">
        <v>3270100</v>
      </c>
      <c r="T4" s="12">
        <v>3587000</v>
      </c>
      <c r="U4" s="12">
        <v>1503351</v>
      </c>
      <c r="V4" s="12">
        <v>219240</v>
      </c>
    </row>
    <row r="5" spans="1:22">
      <c r="A5" s="11">
        <v>2007</v>
      </c>
      <c r="B5" s="12">
        <f>[1]!HK_MSW_recycled[[#This Row],[HK total MSW disposed (tonnes)]]+[1]!HK_MSW_recycled[[#This Row],[HK total MSW recycled (tonnes)]]</f>
        <v>6163000</v>
      </c>
      <c r="C5" s="12">
        <f>ROUND((9184*365), -3)</f>
        <v>3352000</v>
      </c>
      <c r="D5" s="12">
        <v>2811000</v>
      </c>
      <c r="E5" s="13">
        <f>HK_MSW_recycled[[#This Row],[HK total MSW recycled (tonnes)]]/HK_MSW_recycled[[#This Row],[HK total MSW generated (tonnes)]]</f>
        <v>0.45610903780626316</v>
      </c>
      <c r="F5" s="12">
        <f>HK_MSW_recycled[[#This Row],[HK total domestic waste disposed (tonnes)]]+HK_MSW_recycled[[#This Row],[HK total domestic waste recycled (tonnes)]]</f>
        <v>3371000</v>
      </c>
      <c r="G5" s="12">
        <f>ROUND((6372*365), -3)</f>
        <v>2326000</v>
      </c>
      <c r="H5" s="12">
        <f>ROUND(HK_MSW_recycled[[#This Row],[HK total domestic waste disposed (tonnes)]]/(1-HK_MSW_recycled[[#This Row],[HK total domestic waste recycling rate]])*HK_MSW_recycled[[#This Row],[HK total domestic waste recycling rate]], -3)</f>
        <v>1045000</v>
      </c>
      <c r="I5" s="13">
        <v>0.31</v>
      </c>
      <c r="J5" s="20"/>
      <c r="K5" s="19"/>
      <c r="L5" s="17"/>
      <c r="M5" s="17"/>
      <c r="N5" s="17"/>
      <c r="O5" s="17"/>
      <c r="P5" s="17"/>
      <c r="Q5" s="17"/>
      <c r="R5" s="12">
        <v>6925900</v>
      </c>
      <c r="S5" s="12">
        <v>3287400</v>
      </c>
      <c r="T5" s="12">
        <v>3638500</v>
      </c>
      <c r="U5" s="12">
        <v>1650756</v>
      </c>
      <c r="V5" s="12">
        <v>238676</v>
      </c>
    </row>
    <row r="6" spans="1:22">
      <c r="A6" s="11">
        <v>2008</v>
      </c>
      <c r="B6" s="12">
        <f>[1]!HK_MSW_recycled[[#This Row],[HK total MSW disposed (tonnes)]]+[1]!HK_MSW_recycled[[#This Row],[HK total MSW recycled (tonnes)]]</f>
        <v>6445000</v>
      </c>
      <c r="C6" s="12">
        <f>ROUND((9021*366), -3)</f>
        <v>3302000</v>
      </c>
      <c r="D6" s="12">
        <v>3143000</v>
      </c>
      <c r="E6" s="13">
        <f>HK_MSW_recycled[[#This Row],[HK total MSW recycled (tonnes)]]/HK_MSW_recycled[[#This Row],[HK total MSW generated (tonnes)]]</f>
        <v>0.48766485647788982</v>
      </c>
      <c r="F6" s="12">
        <f>HK_MSW_recycled[[#This Row],[HK total domestic waste disposed (tonnes)]]+HK_MSW_recycled[[#This Row],[HK total domestic waste recycled (tonnes)]]</f>
        <v>3226000</v>
      </c>
      <c r="G6" s="12">
        <f>ROUND((6081*366), -3)</f>
        <v>2226000</v>
      </c>
      <c r="H6" s="12">
        <f>ROUND(HK_MSW_recycled[[#This Row],[HK total domestic waste disposed (tonnes)]]/(1-HK_MSW_recycled[[#This Row],[HK total domestic waste recycling rate]])*HK_MSW_recycled[[#This Row],[HK total domestic waste recycling rate]], -3)</f>
        <v>1000000</v>
      </c>
      <c r="I6" s="13">
        <v>0.31</v>
      </c>
      <c r="J6" s="20"/>
      <c r="K6" s="19"/>
      <c r="L6" s="17"/>
      <c r="M6" s="17"/>
      <c r="N6" s="17"/>
      <c r="O6" s="17"/>
      <c r="P6" s="17"/>
      <c r="Q6" s="17"/>
      <c r="R6" s="12">
        <v>6977700</v>
      </c>
      <c r="S6" s="12">
        <v>3297500</v>
      </c>
      <c r="T6" s="12">
        <v>3680200</v>
      </c>
      <c r="U6" s="12">
        <v>1707487</v>
      </c>
      <c r="V6" s="12">
        <v>245406</v>
      </c>
    </row>
    <row r="7" spans="1:22">
      <c r="A7" s="11">
        <v>2009</v>
      </c>
      <c r="B7" s="1">
        <f>ROUND(6452600,-3)</f>
        <v>6453000</v>
      </c>
      <c r="C7" s="12">
        <f>ROUND(([1]!HK_MSW_recycled[[#This Row],[HK total MSW generated (tonnes)]]-[1]!HK_MSW_recycled[[#This Row],[HK total MSW recycled (tonnes)]]), -3)</f>
        <v>3272000</v>
      </c>
      <c r="D7" s="12">
        <v>3181000</v>
      </c>
      <c r="E7" s="13">
        <f>HK_MSW_recycled[[#This Row],[HK total MSW recycled (tonnes)]]/HK_MSW_recycled[[#This Row],[HK total MSW generated (tonnes)]]</f>
        <v>0.49294901596156826</v>
      </c>
      <c r="F7" s="12">
        <f>HK_MSW_recycled[[#This Row],[HK total domestic waste disposed (tonnes)]]+HK_MSW_recycled[[#This Row],[HK total domestic waste recycled (tonnes)]]</f>
        <v>3377000</v>
      </c>
      <c r="G7" s="12">
        <f>ROUND((6015*365), -3)</f>
        <v>2195000</v>
      </c>
      <c r="H7" s="12">
        <f>ROUND(HK_MSW_recycled[[#This Row],[HK total domestic waste disposed (tonnes)]]/(1-HK_MSW_recycled[[#This Row],[HK total domestic waste recycling rate]])*HK_MSW_recycled[[#This Row],[HK total domestic waste recycling rate]], -3)</f>
        <v>1182000</v>
      </c>
      <c r="I7" s="13">
        <v>0.35</v>
      </c>
      <c r="J7" s="20"/>
      <c r="K7" s="19"/>
      <c r="L7" s="17"/>
      <c r="M7" s="17"/>
      <c r="N7" s="17"/>
      <c r="O7" s="17"/>
      <c r="P7" s="17"/>
      <c r="Q7" s="17"/>
      <c r="R7" s="12">
        <v>7003700</v>
      </c>
      <c r="S7" s="12">
        <v>3296200</v>
      </c>
      <c r="T7" s="12">
        <v>3707500</v>
      </c>
      <c r="U7" s="12">
        <v>1659245</v>
      </c>
      <c r="V7" s="12">
        <v>237960</v>
      </c>
    </row>
    <row r="8" spans="1:22">
      <c r="A8" s="11">
        <v>2010</v>
      </c>
      <c r="B8" s="1">
        <f>ROUND(6930100,-3)</f>
        <v>6930000</v>
      </c>
      <c r="C8" s="12">
        <f>ROUND(([1]!HK_MSW_recycled[[#This Row],[HK total MSW generated (tonnes)]]-[1]!HK_MSW_recycled[[#This Row],[HK total MSW recycled (tonnes)]]), -3)</f>
        <v>3327000</v>
      </c>
      <c r="D8" s="12">
        <v>3603000</v>
      </c>
      <c r="E8" s="13">
        <f>HK_MSW_recycled[[#This Row],[HK total MSW recycled (tonnes)]]/HK_MSW_recycled[[#This Row],[HK total MSW generated (tonnes)]]</f>
        <v>0.51991341991341988</v>
      </c>
      <c r="F8" s="12">
        <f>HK_MSW_recycled[[#This Row],[HK total domestic waste disposed (tonnes)]]+HK_MSW_recycled[[#This Row],[HK total domestic waste recycled (tonnes)]]</f>
        <v>3732000</v>
      </c>
      <c r="G8" s="12">
        <f>ROUND((6135*365), -3)</f>
        <v>2239000</v>
      </c>
      <c r="H8" s="12">
        <f>ROUND(HK_MSW_recycled[[#This Row],[HK total domestic waste disposed (tonnes)]]/(1-HK_MSW_recycled[[#This Row],[HK total domestic waste recycling rate]])*HK_MSW_recycled[[#This Row],[HK total domestic waste recycling rate]], -3)</f>
        <v>1493000</v>
      </c>
      <c r="I8" s="13">
        <v>0.4</v>
      </c>
      <c r="J8" s="20"/>
      <c r="K8" s="19"/>
      <c r="L8" s="17"/>
      <c r="M8" s="17"/>
      <c r="N8" s="17"/>
      <c r="O8" s="17"/>
      <c r="P8" s="17"/>
      <c r="Q8" s="17"/>
      <c r="R8" s="12">
        <v>7067800</v>
      </c>
      <c r="S8" s="12">
        <v>3310500</v>
      </c>
      <c r="T8" s="12">
        <v>3757300</v>
      </c>
      <c r="U8" s="12">
        <v>1776332</v>
      </c>
      <c r="V8" s="12">
        <v>252887</v>
      </c>
    </row>
    <row r="9" spans="1:22">
      <c r="A9" s="11">
        <v>2011</v>
      </c>
      <c r="B9" s="1">
        <f>ROUND(6302800,-3)</f>
        <v>6303000</v>
      </c>
      <c r="C9" s="12">
        <f>ROUND(([1]!HK_MSW_recycled[[#This Row],[HK total MSW generated (tonnes)]]-[1]!HK_MSW_recycled[[#This Row],[HK total MSW recycled (tonnes)]]), -3)</f>
        <v>3284000</v>
      </c>
      <c r="D9" s="12">
        <f>ROUND((3019300), -3)</f>
        <v>3019000</v>
      </c>
      <c r="E9" s="13">
        <f>HK_MSW_recycled[[#This Row],[HK total MSW recycled (tonnes)]]/HK_MSW_recycled[[#This Row],[HK total MSW generated (tonnes)]]</f>
        <v>0.47897826431857843</v>
      </c>
      <c r="F9" s="12">
        <f>HK_MSW_recycled[[#This Row],[HK total domestic waste disposed (tonnes)]]+HK_MSW_recycled[[#This Row],[HK total domestic waste recycled (tonnes)]]</f>
        <v>3516000</v>
      </c>
      <c r="G9" s="12">
        <f>ROUND((5973*365), -3)</f>
        <v>2180000</v>
      </c>
      <c r="H9" s="12">
        <f>ROUND(HK_MSW_recycled[[#This Row],[HK total domestic waste disposed (tonnes)]]/(1-HK_MSW_recycled[[#This Row],[HK total domestic waste recycling rate]])*HK_MSW_recycled[[#This Row],[HK total domestic waste recycling rate]], -3)</f>
        <v>1336000</v>
      </c>
      <c r="I9" s="13">
        <v>0.38</v>
      </c>
      <c r="J9" s="20"/>
      <c r="K9" s="19"/>
      <c r="L9" s="17"/>
      <c r="M9" s="17"/>
      <c r="N9" s="17"/>
      <c r="O9" s="17"/>
      <c r="P9" s="17"/>
      <c r="Q9" s="17"/>
      <c r="R9" s="12">
        <v>7071600</v>
      </c>
      <c r="S9" s="12">
        <v>3303000</v>
      </c>
      <c r="T9" s="12">
        <v>3768600</v>
      </c>
      <c r="U9" s="12">
        <v>1934430</v>
      </c>
      <c r="V9" s="12">
        <v>273549</v>
      </c>
    </row>
    <row r="10" spans="1:22">
      <c r="A10" s="11">
        <v>2012</v>
      </c>
      <c r="B10" s="1">
        <f>ROUND(5558500,-3)</f>
        <v>5559000</v>
      </c>
      <c r="C10" s="12">
        <f>ROUND(([1]!HK_MSW_recycled[[#This Row],[HK total MSW generated (tonnes)]]-[1]!HK_MSW_recycled[[#This Row],[HK total MSW recycled (tonnes)]]), -3)</f>
        <v>3396000</v>
      </c>
      <c r="D10" s="12">
        <f>ROUND((2162800), -3)</f>
        <v>2163000</v>
      </c>
      <c r="E10" s="13">
        <f>HK_MSW_recycled[[#This Row],[HK total MSW recycled (tonnes)]]/HK_MSW_recycled[[#This Row],[HK total MSW generated (tonnes)]]</f>
        <v>0.38909875876956285</v>
      </c>
      <c r="F10" s="12">
        <f>HK_MSW_recycled[[#This Row],[HK total domestic waste disposed (tonnes)]]+HK_MSW_recycled[[#This Row],[HK total domestic waste recycled (tonnes)]]</f>
        <v>3196000</v>
      </c>
      <c r="G10" s="12">
        <f>ROUND((6286*366), -3)</f>
        <v>2301000</v>
      </c>
      <c r="H10" s="12">
        <f>ROUND(HK_MSW_recycled[[#This Row],[HK total domestic waste disposed (tonnes)]]/(1-HK_MSW_recycled[[#This Row],[HK total domestic waste recycling rate]])*HK_MSW_recycled[[#This Row],[HK total domestic waste recycling rate]], -3)</f>
        <v>895000</v>
      </c>
      <c r="I10" s="13">
        <v>0.28000000000000003</v>
      </c>
      <c r="J10" s="20"/>
      <c r="K10" s="19"/>
      <c r="L10" s="17"/>
      <c r="M10" s="17"/>
      <c r="N10" s="17"/>
      <c r="O10" s="17"/>
      <c r="P10" s="17"/>
      <c r="Q10" s="17"/>
      <c r="R10" s="12">
        <v>7154600</v>
      </c>
      <c r="S10" s="12">
        <v>3327300</v>
      </c>
      <c r="T10" s="12">
        <v>3827300</v>
      </c>
      <c r="U10" s="12">
        <v>2037059</v>
      </c>
      <c r="V10" s="12">
        <v>284899</v>
      </c>
    </row>
    <row r="11" spans="1:22">
      <c r="A11" s="11">
        <v>2013</v>
      </c>
      <c r="B11" s="1">
        <f>ROUND(5493200,-3)</f>
        <v>5493000</v>
      </c>
      <c r="C11" s="12">
        <f>ROUND(([1]!HK_MSW_recycled[[#This Row],[HK total MSW generated (tonnes)]]-[1]!HK_MSW_recycled[[#This Row],[HK total MSW recycled (tonnes)]]), -3)</f>
        <v>3484000</v>
      </c>
      <c r="D11" s="12">
        <f>ROUND((2008700), -3)</f>
        <v>2009000</v>
      </c>
      <c r="E11" s="13">
        <f>HK_MSW_recycled[[#This Row],[HK total MSW recycled (tonnes)]]/HK_MSW_recycled[[#This Row],[HK total MSW generated (tonnes)]]</f>
        <v>0.36573821227016201</v>
      </c>
      <c r="F11" s="12">
        <f>HK_MSW_recycled[[#This Row],[HK total domestic waste disposed (tonnes)]]+HK_MSW_recycled[[#This Row],[HK total domestic waste recycled (tonnes)]]</f>
        <v>3054000</v>
      </c>
      <c r="G11" s="12">
        <f>ROUND((6359*365), -3)</f>
        <v>2321000</v>
      </c>
      <c r="H11" s="12">
        <f>ROUND(HK_MSW_recycled[[#This Row],[HK total domestic waste disposed (tonnes)]]/(1-HK_MSW_recycled[[#This Row],[HK total domestic waste recycling rate]])*HK_MSW_recycled[[#This Row],[HK total domestic waste recycling rate]], -3)</f>
        <v>733000</v>
      </c>
      <c r="I11" s="13">
        <v>0.24</v>
      </c>
      <c r="J11" s="20"/>
      <c r="K11" s="19"/>
      <c r="L11" s="17"/>
      <c r="M11" s="17"/>
      <c r="N11" s="17"/>
      <c r="O11" s="17"/>
      <c r="P11" s="17"/>
      <c r="Q11" s="17"/>
      <c r="R11" s="12">
        <v>7187500</v>
      </c>
      <c r="S11" s="12">
        <v>3330700</v>
      </c>
      <c r="T11" s="12">
        <v>3856800</v>
      </c>
      <c r="U11" s="12">
        <v>2138305</v>
      </c>
      <c r="V11" s="12">
        <v>297860</v>
      </c>
    </row>
    <row r="12" spans="1:22">
      <c r="A12" s="11">
        <v>2014</v>
      </c>
      <c r="B12" s="1">
        <f>ROUND(5623600,-3)</f>
        <v>5624000</v>
      </c>
      <c r="C12" s="12">
        <f>ROUND(([1]!HK_MSW_recycled[[#This Row],[HK total MSW generated (tonnes)]]-[1]!HK_MSW_recycled[[#This Row],[HK total MSW recycled (tonnes)]]), -3)</f>
        <v>3571000</v>
      </c>
      <c r="D12" s="12">
        <f>ROUND((2053200), -3)</f>
        <v>2053000</v>
      </c>
      <c r="E12" s="13">
        <f>HK_MSW_recycled[[#This Row],[HK total MSW recycled (tonnes)]]/HK_MSW_recycled[[#This Row],[HK total MSW generated (tonnes)]]</f>
        <v>0.36504267425320058</v>
      </c>
      <c r="F12" s="12">
        <f>HK_MSW_recycled[[#This Row],[HK total domestic waste disposed (tonnes)]]+HK_MSW_recycled[[#This Row],[HK total domestic waste recycled (tonnes)]]</f>
        <v>3166000</v>
      </c>
      <c r="G12" s="12">
        <f>ROUND((6418*365), -3)</f>
        <v>2343000</v>
      </c>
      <c r="H12" s="12">
        <f>ROUND(HK_MSW_recycled[[#This Row],[HK total domestic waste disposed (tonnes)]]/(1-HK_MSW_recycled[[#This Row],[HK total domestic waste recycling rate]])*HK_MSW_recycled[[#This Row],[HK total domestic waste recycling rate]], -3)</f>
        <v>823000</v>
      </c>
      <c r="I12" s="13">
        <v>0.26</v>
      </c>
      <c r="J12" s="20"/>
      <c r="K12" s="19"/>
      <c r="L12" s="17"/>
      <c r="M12" s="17"/>
      <c r="N12" s="17"/>
      <c r="O12" s="17"/>
      <c r="P12" s="17"/>
      <c r="Q12" s="17"/>
      <c r="R12" s="12">
        <v>7241700</v>
      </c>
      <c r="S12" s="12">
        <v>3345100</v>
      </c>
      <c r="T12" s="12">
        <v>3896600</v>
      </c>
      <c r="U12" s="12">
        <v>2260005</v>
      </c>
      <c r="V12" s="12">
        <v>312609</v>
      </c>
    </row>
    <row r="13" spans="1:22">
      <c r="A13" s="11">
        <v>2015</v>
      </c>
      <c r="B13" s="1">
        <f>ROUND(5740700,-3)</f>
        <v>5741000</v>
      </c>
      <c r="C13" s="12">
        <f>ROUND(([1]!HK_MSW_recycled[[#This Row],[HK total MSW generated (tonnes)]]-[1]!HK_MSW_recycled[[#This Row],[HK total MSW recycled (tonnes)]]), -3)</f>
        <v>3829000</v>
      </c>
      <c r="D13" s="12">
        <f>ROUND((1912300), -3)</f>
        <v>1912000</v>
      </c>
      <c r="E13" s="13">
        <f>HK_MSW_recycled[[#This Row],[HK total MSW recycled (tonnes)]]/HK_MSW_recycled[[#This Row],[HK total MSW generated (tonnes)]]</f>
        <v>0.33304302386343843</v>
      </c>
      <c r="F13" s="12">
        <f>HK_MSW_recycled[[#This Row],[HK total domestic waste disposed (tonnes)]]+HK_MSW_recycled[[#This Row],[HK total domestic waste recycled (tonnes)]]</f>
        <v>3196000</v>
      </c>
      <c r="G13" s="12">
        <v>2397000</v>
      </c>
      <c r="H13" s="12">
        <f>ROUND(HK_MSW_recycled[[#This Row],[HK total domestic waste disposed (tonnes)]]/(1-HK_MSW_recycled[[#This Row],[HK total domestic waste recycling rate]])*HK_MSW_recycled[[#This Row],[HK total domestic waste recycling rate]], -3)</f>
        <v>799000</v>
      </c>
      <c r="I13" s="13">
        <v>0.25</v>
      </c>
      <c r="J13" s="14">
        <f>118.7+40.8</f>
        <v>159.5</v>
      </c>
      <c r="K13" s="15">
        <f>HK_MSW_recycled[[#This Row],[G@C recyclables collection volume (tonnes)]]/HK_MSW_recycled[[#This Row],[HK total MSW recycled (tonnes)]]</f>
        <v>8.3420502092050212E-5</v>
      </c>
      <c r="L13" s="12">
        <v>2</v>
      </c>
      <c r="M13" s="12">
        <v>2</v>
      </c>
      <c r="N13" s="12">
        <v>0</v>
      </c>
      <c r="O13" s="12">
        <v>0</v>
      </c>
      <c r="P13" s="12">
        <f>12940+18447</f>
        <v>31387</v>
      </c>
      <c r="Q13" s="17"/>
      <c r="R13" s="12">
        <v>7291300</v>
      </c>
      <c r="S13" s="12">
        <v>3365600</v>
      </c>
      <c r="T13" s="12">
        <v>3925700</v>
      </c>
      <c r="U13" s="12">
        <v>2398280</v>
      </c>
      <c r="V13" s="12">
        <v>328924</v>
      </c>
    </row>
    <row r="14" spans="1:22">
      <c r="A14" s="11">
        <v>2016</v>
      </c>
      <c r="B14" s="1">
        <f>ROUND(5698800,-3)</f>
        <v>5699000</v>
      </c>
      <c r="C14" s="12">
        <f>ROUND(([1]!HK_MSW_recycled[[#This Row],[HK total MSW generated (tonnes)]]-[1]!HK_MSW_recycled[[#This Row],[HK total MSW recycled (tonnes)]]), -3)</f>
        <v>3666000</v>
      </c>
      <c r="D14" s="12">
        <f>ROUND((2032800), -3)</f>
        <v>2033000</v>
      </c>
      <c r="E14" s="13">
        <f>HK_MSW_recycled[[#This Row],[HK total MSW recycled (tonnes)]]/HK_MSW_recycled[[#This Row],[HK total MSW generated (tonnes)]]</f>
        <v>0.35672925074574485</v>
      </c>
      <c r="F14" s="12">
        <f>HK_MSW_recycled[[#This Row],[HK total domestic waste disposed (tonnes)]]+HK_MSW_recycled[[#This Row],[HK total domestic waste recycled (tonnes)]]</f>
        <v>3078000</v>
      </c>
      <c r="G14" s="12">
        <f>ROUND((6391*366), -3)</f>
        <v>2339000</v>
      </c>
      <c r="H14" s="12">
        <f>ROUND(HK_MSW_recycled[[#This Row],[HK total domestic waste disposed (tonnes)]]/(1-HK_MSW_recycled[[#This Row],[HK total domestic waste recycling rate]])*HK_MSW_recycled[[#This Row],[HK total domestic waste recycling rate]], -3)</f>
        <v>739000</v>
      </c>
      <c r="I14" s="13">
        <v>0.24</v>
      </c>
      <c r="J14" s="14">
        <f>310+290</f>
        <v>600</v>
      </c>
      <c r="K14" s="15">
        <f>HK_MSW_recycled[[#This Row],[G@C recyclables collection volume (tonnes)]]/HK_MSW_recycled[[#This Row],[HK total MSW recycled (tonnes)]]</f>
        <v>2.9513034923757994E-4</v>
      </c>
      <c r="L14" s="12">
        <v>2</v>
      </c>
      <c r="M14" s="12">
        <v>2</v>
      </c>
      <c r="N14" s="12">
        <v>0</v>
      </c>
      <c r="O14" s="12">
        <v>0</v>
      </c>
      <c r="P14" s="12">
        <f>34526+124933</f>
        <v>159459</v>
      </c>
      <c r="Q14" s="17"/>
      <c r="R14" s="12">
        <v>7336600</v>
      </c>
      <c r="S14" s="12">
        <v>3375400</v>
      </c>
      <c r="T14" s="12">
        <v>3961200</v>
      </c>
      <c r="U14" s="12">
        <v>2490598</v>
      </c>
      <c r="V14" s="12">
        <v>339476</v>
      </c>
    </row>
    <row r="15" spans="1:22">
      <c r="A15" s="11">
        <v>2017</v>
      </c>
      <c r="B15" s="1">
        <f>ROUND(5748200,-3)</f>
        <v>5748000</v>
      </c>
      <c r="C15" s="12">
        <f>ROUND(([1]!HK_MSW_recycled[[#This Row],[HK total MSW generated (tonnes)]]-[1]!HK_MSW_recycled[[#This Row],[HK total MSW recycled (tonnes)]]), -3)</f>
        <v>3917000</v>
      </c>
      <c r="D15" s="12">
        <f>ROUND((1830600), -3)</f>
        <v>1831000</v>
      </c>
      <c r="E15" s="13">
        <f>HK_MSW_recycled[[#This Row],[HK total MSW recycled (tonnes)]]/HK_MSW_recycled[[#This Row],[HK total MSW generated (tonnes)]]</f>
        <v>0.31854558107167713</v>
      </c>
      <c r="F15" s="12">
        <f>HK_MSW_recycled[[#This Row],[HK total domestic waste disposed (tonnes)]]+HK_MSW_recycled[[#This Row],[HK total domestic waste recycled (tonnes)]]</f>
        <v>3035000</v>
      </c>
      <c r="G15" s="12">
        <f>ROUND((6404*365), -3)</f>
        <v>2337000</v>
      </c>
      <c r="H15" s="12">
        <f>ROUND(HK_MSW_recycled[[#This Row],[HK total domestic waste disposed (tonnes)]]/(1-HK_MSW_recycled[[#This Row],[HK total domestic waste recycling rate]])*HK_MSW_recycled[[#This Row],[HK total domestic waste recycling rate]], -3)</f>
        <v>698000</v>
      </c>
      <c r="I15" s="13">
        <v>0.23</v>
      </c>
      <c r="J15" s="14">
        <f>415+395+290+290+17</f>
        <v>1407</v>
      </c>
      <c r="K15" s="15">
        <f>HK_MSW_recycled[[#This Row],[G@C recyclables collection volume (tonnes)]]/HK_MSW_recycled[[#This Row],[HK total MSW recycled (tonnes)]]</f>
        <v>7.684325505188422E-4</v>
      </c>
      <c r="L15" s="12">
        <v>5</v>
      </c>
      <c r="M15" s="12">
        <v>5</v>
      </c>
      <c r="N15" s="12">
        <v>0</v>
      </c>
      <c r="O15" s="12">
        <v>0</v>
      </c>
      <c r="P15" s="12">
        <f>33982+182526+32609+29580+9213</f>
        <v>287910</v>
      </c>
      <c r="Q15" s="17"/>
      <c r="R15" s="12">
        <v>7391700</v>
      </c>
      <c r="S15" s="12">
        <v>3392500</v>
      </c>
      <c r="T15" s="12">
        <v>3999200</v>
      </c>
      <c r="U15" s="12">
        <v>2659611</v>
      </c>
      <c r="V15" s="12">
        <v>359737</v>
      </c>
    </row>
    <row r="16" spans="1:22">
      <c r="A16" s="11">
        <v>2018</v>
      </c>
      <c r="B16" s="1">
        <f>ROUND(5948700,-3)</f>
        <v>5949000</v>
      </c>
      <c r="C16" s="12">
        <f>ROUND(([1]!HK_MSW_recycled[[#This Row],[HK total MSW generated (tonnes)]]-[1]!HK_MSW_recycled[[#This Row],[HK total MSW recycled (tonnes)]]), -3)</f>
        <v>4171000</v>
      </c>
      <c r="D16" s="12">
        <f>ROUND((1777600), -3)</f>
        <v>1778000</v>
      </c>
      <c r="E16" s="13">
        <f>HK_MSW_recycled[[#This Row],[HK total MSW recycled (tonnes)]]/HK_MSW_recycled[[#This Row],[HK total MSW generated (tonnes)]]</f>
        <v>0.29887376029584806</v>
      </c>
      <c r="F16" s="12">
        <f>HK_MSW_recycled[[#This Row],[HK total domestic waste disposed (tonnes)]]+HK_MSW_recycled[[#This Row],[HK total domestic waste recycled (tonnes)]]</f>
        <v>3101000</v>
      </c>
      <c r="G16" s="12">
        <f>ROUND((6712*365), -3)</f>
        <v>2450000</v>
      </c>
      <c r="H16" s="12">
        <f>ROUND(HK_MSW_recycled[[#This Row],[HK total domestic waste disposed (tonnes)]]/(1-HK_MSW_recycled[[#This Row],[HK total domestic waste recycling rate]])*HK_MSW_recycled[[#This Row],[HK total domestic waste recycling rate]], -3)</f>
        <v>651000</v>
      </c>
      <c r="I16" s="13">
        <v>0.21</v>
      </c>
      <c r="J16" s="14">
        <v>2100</v>
      </c>
      <c r="K16" s="15">
        <f>HK_MSW_recycled[[#This Row],[G@C recyclables collection volume (tonnes)]]/HK_MSW_recycled[[#This Row],[HK total MSW recycled (tonnes)]]</f>
        <v>1.1811023622047244E-3</v>
      </c>
      <c r="L16" s="12">
        <v>7</v>
      </c>
      <c r="M16" s="12">
        <v>7</v>
      </c>
      <c r="N16" s="12">
        <v>0</v>
      </c>
      <c r="O16" s="12">
        <v>0</v>
      </c>
      <c r="P16" s="12">
        <v>320192</v>
      </c>
      <c r="Q16" s="17"/>
      <c r="R16" s="12">
        <v>7451000</v>
      </c>
      <c r="S16" s="12">
        <v>3410300</v>
      </c>
      <c r="T16" s="12">
        <v>4040700</v>
      </c>
      <c r="U16" s="12">
        <v>2835429</v>
      </c>
      <c r="V16" s="12">
        <v>380462</v>
      </c>
    </row>
    <row r="17" spans="1:22">
      <c r="A17" s="11">
        <v>2019</v>
      </c>
      <c r="B17" s="1">
        <f>ROUND(5674700,-3)</f>
        <v>5675000</v>
      </c>
      <c r="C17" s="12">
        <f>ROUND(([1]!HK_MSW_recycled[[#This Row],[HK total MSW generated (tonnes)]]-[1]!HK_MSW_recycled[[#This Row],[HK total MSW recycled (tonnes)]]), -3)</f>
        <v>4036000</v>
      </c>
      <c r="D17" s="12">
        <f>ROUND((4491*365), -3)</f>
        <v>1639000</v>
      </c>
      <c r="E17" s="13">
        <f>HK_MSW_recycled[[#This Row],[HK total MSW recycled (tonnes)]]/HK_MSW_recycled[[#This Row],[HK total MSW generated (tonnes)]]</f>
        <v>0.28881057268722465</v>
      </c>
      <c r="F17" s="12">
        <f>HK_MSW_recycled[[#This Row],[HK total domestic waste disposed (tonnes)]]+HK_MSW_recycled[[#This Row],[HK total domestic waste recycled (tonnes)]]</f>
        <v>2953000</v>
      </c>
      <c r="G17" s="12">
        <f>ROUND((6554*365), -3)</f>
        <v>2392000</v>
      </c>
      <c r="H17" s="12">
        <f>ROUND(HK_MSW_recycled[[#This Row],[HK total domestic waste disposed (tonnes)]]/(1-HK_MSW_recycled[[#This Row],[HK total domestic waste recycling rate]])*HK_MSW_recycled[[#This Row],[HK total domestic waste recycling rate]], -3)</f>
        <v>561000</v>
      </c>
      <c r="I17" s="13">
        <v>0.19</v>
      </c>
      <c r="J17" s="14">
        <v>2800</v>
      </c>
      <c r="K17" s="15">
        <f>HK_MSW_recycled[[#This Row],[G@C recyclables collection volume (tonnes)]]/HK_MSW_recycled[[#This Row],[HK total MSW recycled (tonnes)]]</f>
        <v>1.7083587553386212E-3</v>
      </c>
      <c r="L17" s="12">
        <v>8</v>
      </c>
      <c r="M17" s="12">
        <v>8</v>
      </c>
      <c r="N17" s="12">
        <v>0</v>
      </c>
      <c r="O17" s="12">
        <v>0</v>
      </c>
      <c r="P17" s="12">
        <f>8423+48972+8853+6126+7090+29626+3555+7729+55800+7981+8328+8305+36872+1894+10229+57426+7186+6694+8029+37478+2436+11324+58211+7641+6112+9109+33999+1507+1565</f>
        <v>498500</v>
      </c>
      <c r="Q17" s="17"/>
      <c r="R17" s="12">
        <v>7507900</v>
      </c>
      <c r="S17" s="12">
        <v>3424000</v>
      </c>
      <c r="T17" s="12">
        <v>4083900</v>
      </c>
      <c r="U17" s="12">
        <v>2845022</v>
      </c>
      <c r="V17" s="12">
        <v>378937</v>
      </c>
    </row>
    <row r="18" spans="1:22">
      <c r="A18" s="11">
        <v>2020</v>
      </c>
      <c r="B18" s="1">
        <f>ROUND(5493700,-3)</f>
        <v>5494000</v>
      </c>
      <c r="C18" s="12">
        <f>ROUND(([1]!HK_MSW_recycled[[#This Row],[HK total MSW generated (tonnes)]]-[1]!HK_MSW_recycled[[#This Row],[HK total MSW recycled (tonnes)]]), -3)</f>
        <v>3956000</v>
      </c>
      <c r="D18" s="12">
        <f>ROUND((4201*366), -3)</f>
        <v>1538000</v>
      </c>
      <c r="E18" s="13">
        <f>HK_MSW_recycled[[#This Row],[HK total MSW recycled (tonnes)]]/HK_MSW_recycled[[#This Row],[HK total MSW generated (tonnes)]]</f>
        <v>0.27994175464142701</v>
      </c>
      <c r="F18" s="12">
        <f>HK_MSW_recycled[[#This Row],[HK total domestic waste disposed (tonnes)]]+HK_MSW_recycled[[#This Row],[HK total domestic waste recycled (tonnes)]]</f>
        <v>3131000</v>
      </c>
      <c r="G18" s="12">
        <f>ROUND((6844*366), -3)</f>
        <v>2505000</v>
      </c>
      <c r="H18" s="12">
        <f>ROUND(HK_MSW_recycled[[#This Row],[HK total domestic waste disposed (tonnes)]]/(1-HK_MSW_recycled[[#This Row],[HK total domestic waste recycling rate]])*HK_MSW_recycled[[#This Row],[HK total domestic waste recycling rate]], -3)</f>
        <v>626000</v>
      </c>
      <c r="I18" s="13">
        <v>0.2</v>
      </c>
      <c r="J18" s="14">
        <v>3950</v>
      </c>
      <c r="K18" s="15">
        <f>HK_MSW_recycled[[#This Row],[G@C recyclables collection volume (tonnes)]]/HK_MSW_recycled[[#This Row],[HK total MSW recycled (tonnes)]]</f>
        <v>2.5682704811443432E-3</v>
      </c>
      <c r="L18" s="12">
        <f>9+22</f>
        <v>31</v>
      </c>
      <c r="M18" s="12">
        <v>9</v>
      </c>
      <c r="N18" s="12">
        <v>22</v>
      </c>
      <c r="O18" s="12">
        <v>0</v>
      </c>
      <c r="P18" s="22"/>
      <c r="Q18" s="17"/>
      <c r="R18" s="12">
        <v>7481000</v>
      </c>
      <c r="S18" s="12">
        <v>3416500</v>
      </c>
      <c r="T18" s="12">
        <v>4064500</v>
      </c>
      <c r="U18" s="12">
        <v>2675793</v>
      </c>
      <c r="V18" s="12">
        <v>357679</v>
      </c>
    </row>
    <row r="19" spans="1:22">
      <c r="A19" s="11">
        <v>2021</v>
      </c>
      <c r="B19" s="1">
        <f>ROUND(5986500,-3)</f>
        <v>5987000</v>
      </c>
      <c r="C19" s="12">
        <f>ROUND(([1]!HK_MSW_recycled[[#This Row],[HK total MSW generated (tonnes)]]-[1]!HK_MSW_recycled[[#This Row],[HK total MSW recycled (tonnes)]]), -3)</f>
        <v>4146000</v>
      </c>
      <c r="D19" s="12">
        <f>ROUND((5044*365), -3)</f>
        <v>1841000</v>
      </c>
      <c r="E19" s="13">
        <f>HK_MSW_recycled[[#This Row],[HK total MSW recycled (tonnes)]]/HK_MSW_recycled[[#This Row],[HK total MSW generated (tonnes)]]</f>
        <v>0.30749958242859526</v>
      </c>
      <c r="F19" s="12">
        <f>HK_MSW_recycled[[#This Row],[HK total domestic waste disposed (tonnes)]]+HK_MSW_recycled[[#This Row],[HK total domestic waste recycled (tonnes)]]</f>
        <v>3190000</v>
      </c>
      <c r="G19" s="12">
        <f>ROUND((6992*365), -3)</f>
        <v>2552000</v>
      </c>
      <c r="H19" s="12">
        <f>ROUND(HK_MSW_recycled[[#This Row],[HK total domestic waste disposed (tonnes)]]/(1-HK_MSW_recycled[[#This Row],[HK total domestic waste recycling rate]])*HK_MSW_recycled[[#This Row],[HK total domestic waste recycling rate]], -3)</f>
        <v>638000</v>
      </c>
      <c r="I19" s="13">
        <v>0.2</v>
      </c>
      <c r="J19" s="14">
        <v>14400</v>
      </c>
      <c r="K19" s="15">
        <f>HK_MSW_recycled[[#This Row],[G@C recyclables collection volume (tonnes)]]/HK_MSW_recycled[[#This Row],[HK total MSW recycled (tonnes)]]</f>
        <v>7.8218359587180885E-3</v>
      </c>
      <c r="L19" s="12">
        <f>33+100</f>
        <v>133</v>
      </c>
      <c r="M19" s="12">
        <v>11</v>
      </c>
      <c r="N19" s="12">
        <v>22</v>
      </c>
      <c r="O19" s="12">
        <v>100</v>
      </c>
      <c r="P19" s="12">
        <v>3800000</v>
      </c>
      <c r="Q19" s="12">
        <v>120000</v>
      </c>
      <c r="R19" s="12">
        <v>7413100</v>
      </c>
      <c r="S19" s="12">
        <v>3382300</v>
      </c>
      <c r="T19" s="12">
        <v>4030800</v>
      </c>
      <c r="U19" s="12">
        <v>2867740</v>
      </c>
      <c r="V19" s="12">
        <v>386848</v>
      </c>
    </row>
    <row r="20" spans="1:22">
      <c r="A20" s="11">
        <v>2022</v>
      </c>
      <c r="B20" s="1">
        <f>ROUND(5974700,-3)</f>
        <v>5975000</v>
      </c>
      <c r="C20" s="12">
        <f>ROUND(([1]!HK_MSW_recycled[[#This Row],[HK total MSW generated (tonnes)]]-[1]!HK_MSW_recycled[[#This Row],[HK total MSW recycled (tonnes)]]), -3)</f>
        <v>4062000</v>
      </c>
      <c r="D20" s="12">
        <f>ROUND((5241*365), -3)</f>
        <v>1913000</v>
      </c>
      <c r="E20" s="13">
        <f>HK_MSW_recycled[[#This Row],[HK total MSW recycled (tonnes)]]/HK_MSW_recycled[[#This Row],[HK total MSW generated (tonnes)]]</f>
        <v>0.3201673640167364</v>
      </c>
      <c r="F20" s="12">
        <f>HK_MSW_recycled[[#This Row],[HK total domestic waste disposed (tonnes)]]+HK_MSW_recycled[[#This Row],[HK total domestic waste recycled (tonnes)]]</f>
        <v>3101000</v>
      </c>
      <c r="G20" s="12">
        <f>ROUND((6797*365), -3)</f>
        <v>2481000</v>
      </c>
      <c r="H20" s="12">
        <f>ROUND(HK_MSW_recycled[[#This Row],[HK total domestic waste disposed (tonnes)]]/(1-HK_MSW_recycled[[#This Row],[HK total domestic waste recycling rate]])*HK_MSW_recycled[[#This Row],[HK total domestic waste recycling rate]], -3)</f>
        <v>620000</v>
      </c>
      <c r="I20" s="13">
        <v>0.2</v>
      </c>
      <c r="J20" s="14">
        <v>20300</v>
      </c>
      <c r="K20" s="15">
        <f>HK_MSW_recycled[[#This Row],[G@C recyclables collection volume (tonnes)]]/HK_MSW_recycled[[#This Row],[HK total MSW recycled (tonnes)]]</f>
        <v>1.0611604809200209E-2</v>
      </c>
      <c r="L20" s="12">
        <f>HK_MSW_recycled[[#This Row],[Number of G@C station]]+HK_MSW_recycled[[#This Row],[Number of G@C store]]+HK_MSW_recycled[[#This Row],[Number of G@C spots]]</f>
        <v>163</v>
      </c>
      <c r="M20" s="12">
        <v>11</v>
      </c>
      <c r="N20" s="12">
        <v>32</v>
      </c>
      <c r="O20" s="12">
        <v>120</v>
      </c>
      <c r="P20" s="12">
        <v>5690000</v>
      </c>
      <c r="Q20" s="12">
        <v>240000</v>
      </c>
      <c r="R20" s="12">
        <v>7346100</v>
      </c>
      <c r="S20" s="12">
        <v>3354500</v>
      </c>
      <c r="T20" s="12">
        <v>3991600</v>
      </c>
      <c r="U20" s="12">
        <v>2827009</v>
      </c>
      <c r="V20" s="12">
        <v>384831</v>
      </c>
    </row>
    <row r="21" spans="1:22">
      <c r="A21" s="11">
        <v>2023</v>
      </c>
      <c r="B21" s="1">
        <f>ROUND(5941200,-3)</f>
        <v>5941000</v>
      </c>
      <c r="C21" s="12">
        <f>ROUND(([1]!HK_MSW_recycled[[#This Row],[HK total MSW generated (tonnes)]]-[1]!HK_MSW_recycled[[#This Row],[HK total MSW recycled (tonnes)]]), -3)</f>
        <v>3972000</v>
      </c>
      <c r="D21" s="12">
        <f>ROUND((1968500), -3)</f>
        <v>1969000</v>
      </c>
      <c r="E21" s="13">
        <f>HK_MSW_recycled[[#This Row],[HK total MSW recycled (tonnes)]]/HK_MSW_recycled[[#This Row],[HK total MSW generated (tonnes)]]</f>
        <v>0.33142568591146271</v>
      </c>
      <c r="F21" s="12">
        <f>HK_MSW_recycled[[#This Row],[HK total domestic waste disposed (tonnes)]]+HK_MSW_recycled[[#This Row],[HK total domestic waste recycled (tonnes)]]</f>
        <v>3110000</v>
      </c>
      <c r="G21" s="12">
        <f t="shared" ref="G21" si="0">ROUND((6731*365), -3)</f>
        <v>2457000</v>
      </c>
      <c r="H21" s="12">
        <f>ROUND(HK_MSW_recycled[[#This Row],[HK total domestic waste disposed (tonnes)]]/(1-HK_MSW_recycled[[#This Row],[HK total domestic waste recycling rate]])*HK_MSW_recycled[[#This Row],[HK total domestic waste recycling rate]], -3)</f>
        <v>653000</v>
      </c>
      <c r="I21" s="13">
        <v>0.21</v>
      </c>
      <c r="J21" s="14">
        <v>26900</v>
      </c>
      <c r="K21" s="15">
        <f>HK_MSW_recycled[[#This Row],[G@C recyclables collection volume (tonnes)]]/HK_MSW_recycled[[#This Row],[HK total MSW recycled (tonnes)]]</f>
        <v>1.3661757237176232E-2</v>
      </c>
      <c r="L21" s="12">
        <f>HK_MSW_recycled[[#This Row],[Number of G@C station]]+HK_MSW_recycled[[#This Row],[Number of G@C store]]+HK_MSW_recycled[[#This Row],[Number of G@C spots]]</f>
        <v>175</v>
      </c>
      <c r="M21" s="12">
        <v>11</v>
      </c>
      <c r="N21" s="12">
        <v>34</v>
      </c>
      <c r="O21" s="12">
        <v>130</v>
      </c>
      <c r="P21" s="12">
        <v>7110000</v>
      </c>
      <c r="Q21" s="12">
        <v>500000</v>
      </c>
      <c r="R21" s="12">
        <v>7536100</v>
      </c>
      <c r="S21" s="12">
        <v>3435200</v>
      </c>
      <c r="T21" s="12">
        <v>4100900</v>
      </c>
      <c r="U21" s="12">
        <v>2983408</v>
      </c>
      <c r="V21" s="12">
        <v>395882</v>
      </c>
    </row>
    <row r="22" spans="1:22">
      <c r="A22" s="11">
        <v>2024</v>
      </c>
      <c r="B22" s="22"/>
      <c r="C22" s="12">
        <v>3847000</v>
      </c>
      <c r="D22" s="22"/>
      <c r="E22" s="23"/>
      <c r="F22" s="22"/>
      <c r="G22" s="22"/>
      <c r="H22" s="22"/>
      <c r="I22" s="23"/>
      <c r="J22" s="14">
        <v>41800</v>
      </c>
      <c r="K22" s="24"/>
      <c r="L22" s="12">
        <v>630</v>
      </c>
      <c r="M22" s="12">
        <v>12</v>
      </c>
      <c r="N22" s="12">
        <v>82</v>
      </c>
      <c r="O22" s="12">
        <v>383</v>
      </c>
      <c r="P22" s="12">
        <v>12700000</v>
      </c>
      <c r="Q22" s="12">
        <v>1000000</v>
      </c>
      <c r="R22" s="12">
        <v>7524100</v>
      </c>
      <c r="S22" s="12">
        <v>3417900</v>
      </c>
      <c r="T22" s="12">
        <v>4106200</v>
      </c>
      <c r="U22" s="12">
        <v>3175094</v>
      </c>
      <c r="V22" s="12">
        <v>421990</v>
      </c>
    </row>
    <row r="23" spans="1:22">
      <c r="A23" s="16">
        <v>2025</v>
      </c>
      <c r="B23" s="17"/>
      <c r="C23" s="17"/>
      <c r="D23" s="17"/>
      <c r="E23" s="18"/>
      <c r="F23" s="17"/>
      <c r="G23" s="17"/>
      <c r="H23" s="17"/>
      <c r="I23" s="18"/>
      <c r="J23" s="17"/>
      <c r="K23" s="19"/>
      <c r="L23" s="26">
        <f>12+82+608+100</f>
        <v>802</v>
      </c>
      <c r="M23" s="26">
        <v>12</v>
      </c>
      <c r="N23" s="26">
        <v>84</v>
      </c>
      <c r="O23" s="26">
        <v>601</v>
      </c>
      <c r="P23" s="17"/>
      <c r="Q23" s="17"/>
      <c r="R23" s="25">
        <v>7527500</v>
      </c>
      <c r="S23" s="25">
        <v>3419900</v>
      </c>
      <c r="T23" s="25">
        <v>4107600</v>
      </c>
      <c r="U23" s="17"/>
      <c r="V23" s="17"/>
    </row>
    <row r="26" spans="1:22">
      <c r="B26" t="s">
        <v>3</v>
      </c>
      <c r="P26" t="s">
        <v>19</v>
      </c>
    </row>
  </sheetData>
  <phoneticPr fontId="1" type="noConversion"/>
  <hyperlinks>
    <hyperlink ref="K1" r:id="rId1" xr:uid="{355F6246-0BB7-894D-8BFE-90A8663D6961}"/>
    <hyperlink ref="J1" r:id="rId2" xr:uid="{8E8A2300-0977-D14B-B416-E49C4C5C16F9}"/>
  </hyperlinks>
  <pageMargins left="0.7" right="0.7" top="0.75" bottom="0.75" header="0.3" footer="0.3"/>
  <pageSetup paperSize="9" orientation="portrait" horizontalDpi="4294967293" verticalDpi="0" r:id="rId3"/>
  <ignoredErrors>
    <ignoredError sqref="G3 G4:G20" calculatedColumn="1"/>
    <ignoredError sqref="K13:K15" formula="1"/>
  </ignoredErrors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F7D4-F15E-48E3-A235-15C6E6527959}">
  <sheetPr codeName="Sheet6"/>
  <dimension ref="A1:G12"/>
  <sheetViews>
    <sheetView zoomScale="156" zoomScaleNormal="100" workbookViewId="0">
      <selection activeCell="F15" sqref="F15"/>
    </sheetView>
  </sheetViews>
  <sheetFormatPr baseColWidth="10" defaultColWidth="9" defaultRowHeight="14"/>
  <cols>
    <col min="1" max="1" width="14.3984375" bestFit="1" customWidth="1"/>
    <col min="2" max="2" width="11.796875" customWidth="1"/>
    <col min="3" max="3" width="12.796875" customWidth="1"/>
    <col min="4" max="4" width="12.3984375" customWidth="1"/>
    <col min="5" max="5" width="12.19921875" customWidth="1"/>
    <col min="6" max="6" width="13" customWidth="1"/>
    <col min="7" max="7" width="14.59765625" customWidth="1"/>
  </cols>
  <sheetData>
    <row r="1" spans="1:7" ht="49.25" customHeight="1">
      <c r="A1" s="6" t="s">
        <v>0</v>
      </c>
      <c r="B1" s="27" t="s">
        <v>56</v>
      </c>
      <c r="C1" s="2" t="s">
        <v>42</v>
      </c>
      <c r="D1" s="2" t="s">
        <v>43</v>
      </c>
      <c r="E1" s="2" t="s">
        <v>41</v>
      </c>
      <c r="F1" s="2" t="s">
        <v>49</v>
      </c>
      <c r="G1" s="2" t="s">
        <v>48</v>
      </c>
    </row>
    <row r="2" spans="1:7">
      <c r="A2" s="6" t="s">
        <v>51</v>
      </c>
      <c r="B2" s="9">
        <f>3300000+2430000</f>
        <v>5730000</v>
      </c>
      <c r="C2" s="9">
        <f>3300000+2430000</f>
        <v>5730000</v>
      </c>
      <c r="D2" s="21"/>
      <c r="E2" s="21"/>
      <c r="F2" s="21"/>
      <c r="G2" s="21"/>
    </row>
    <row r="3" spans="1:7">
      <c r="A3" s="6" t="s">
        <v>50</v>
      </c>
      <c r="B3" s="9">
        <f>2690000+3350000</f>
        <v>6040000</v>
      </c>
      <c r="C3" s="9">
        <f>2690000+3350000</f>
        <v>6040000</v>
      </c>
      <c r="D3" s="21"/>
      <c r="E3" s="21"/>
      <c r="F3" s="21"/>
      <c r="G3" s="21"/>
    </row>
    <row r="4" spans="1:7">
      <c r="A4" t="s">
        <v>47</v>
      </c>
      <c r="B4" s="1">
        <f>4220000+3610000+4690000+3980000+990000</f>
        <v>17490000</v>
      </c>
      <c r="C4" s="1">
        <f>4220000+3610000+4690000+3980000+990000</f>
        <v>17490000</v>
      </c>
      <c r="D4" s="10"/>
      <c r="E4" s="10"/>
      <c r="F4" s="10"/>
      <c r="G4" s="10"/>
    </row>
    <row r="5" spans="1:7">
      <c r="A5" t="s">
        <v>18</v>
      </c>
      <c r="B5" s="1">
        <f>4760000+3910000+4270000+3460000+4700000+2100000+770000</f>
        <v>23970000</v>
      </c>
      <c r="C5" s="1">
        <f>4760000+3910000+4270000+3460000+4700000+2100000+770000</f>
        <v>23970000</v>
      </c>
      <c r="D5" s="10"/>
      <c r="E5" s="10"/>
      <c r="F5" s="10"/>
      <c r="G5" s="10"/>
    </row>
    <row r="6" spans="1:7">
      <c r="A6" t="s">
        <v>17</v>
      </c>
      <c r="B6" s="1">
        <v>31000000</v>
      </c>
      <c r="C6" s="1">
        <v>31000000</v>
      </c>
      <c r="D6" s="10"/>
      <c r="E6" s="10"/>
      <c r="F6" s="10"/>
      <c r="G6" s="10"/>
    </row>
    <row r="7" spans="1:7">
      <c r="A7" t="s">
        <v>16</v>
      </c>
      <c r="B7" s="1">
        <f>GreenCommunity[[#This Row],[G@C station total operating cost]]+GreenCommunity[[#This Row],[G@C store total operating cost]]</f>
        <v>162000000</v>
      </c>
      <c r="C7" s="1">
        <v>52000000</v>
      </c>
      <c r="D7" s="1">
        <v>110000000</v>
      </c>
      <c r="E7" s="1"/>
      <c r="F7" s="10"/>
      <c r="G7" s="10"/>
    </row>
    <row r="8" spans="1:7">
      <c r="A8" t="s">
        <v>15</v>
      </c>
      <c r="B8" s="1">
        <f>GreenCommunity[[#This Row],[G@C station total operating cost]]+GreenCommunity[[#This Row],[G@C store total operating cost]]</f>
        <v>226000000</v>
      </c>
      <c r="C8" s="1">
        <v>52000000</v>
      </c>
      <c r="D8" s="1">
        <v>174000000</v>
      </c>
      <c r="E8" s="1"/>
      <c r="F8" s="10"/>
      <c r="G8" s="10"/>
    </row>
    <row r="9" spans="1:7">
      <c r="A9" t="s">
        <v>14</v>
      </c>
      <c r="B9" s="1">
        <f>GreenCommunity[[#This Row],[G@C station total operating cost]]+GreenCommunity[[#This Row],[G@C store total operating cost]]</f>
        <v>270000000</v>
      </c>
      <c r="C9" s="1">
        <v>69000000</v>
      </c>
      <c r="D9" s="1">
        <v>201000000</v>
      </c>
      <c r="E9" s="1">
        <v>41000000</v>
      </c>
      <c r="F9" s="1">
        <v>400000</v>
      </c>
      <c r="G9" s="1">
        <v>3280000</v>
      </c>
    </row>
    <row r="10" spans="1:7">
      <c r="A10" t="s">
        <v>13</v>
      </c>
      <c r="B10" s="1">
        <f>GreenCommunity[[#This Row],[G@C station total operating cost]]+GreenCommunity[[#This Row],[G@C store total operating cost]]</f>
        <v>313000000</v>
      </c>
      <c r="C10" s="1">
        <v>64000000</v>
      </c>
      <c r="D10" s="1">
        <f>238000000+11000000</f>
        <v>249000000</v>
      </c>
      <c r="E10" s="1">
        <v>51000000</v>
      </c>
      <c r="F10" s="1">
        <v>470000</v>
      </c>
      <c r="G10" s="1"/>
    </row>
    <row r="11" spans="1:7">
      <c r="A11" t="s">
        <v>12</v>
      </c>
      <c r="B11" s="1">
        <f>GreenCommunity[[#This Row],[G@C station total operating cost]]+GreenCommunity[[#This Row],[G@C store total operating cost]]</f>
        <v>475000000</v>
      </c>
      <c r="C11" s="1">
        <v>70000000</v>
      </c>
      <c r="D11" s="1">
        <f>280000000+125000000</f>
        <v>405000000</v>
      </c>
      <c r="E11" s="1">
        <v>49000000</v>
      </c>
      <c r="F11" s="1">
        <v>1370000</v>
      </c>
      <c r="G11" s="1">
        <v>10250000</v>
      </c>
    </row>
    <row r="12" spans="1:7">
      <c r="A12" t="s">
        <v>40</v>
      </c>
      <c r="B12" s="1">
        <f>GreenCommunity[[#This Row],[G@C station total operating cost]]+GreenCommunity[[#This Row],[G@C store total operating cost]]</f>
        <v>507000000</v>
      </c>
      <c r="C12" s="1">
        <v>78000000</v>
      </c>
      <c r="D12" s="1">
        <f>300000000+129000000</f>
        <v>429000000</v>
      </c>
      <c r="E12" s="1"/>
      <c r="F12" s="1">
        <v>1880000</v>
      </c>
      <c r="G12" s="1">
        <v>10920000</v>
      </c>
    </row>
  </sheetData>
  <phoneticPr fontId="6" type="noConversion"/>
  <hyperlinks>
    <hyperlink ref="B1" r:id="rId1" xr:uid="{D250B14A-3CC2-7748-B003-E6004DC11BB7}"/>
  </hyperlinks>
  <pageMargins left="0.7" right="0.7" top="0.75" bottom="0.75" header="0.3" footer="0.3"/>
  <pageSetup paperSize="9" orientation="portrait" horizontalDpi="0" verticalDpi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A461-73C4-4262-979C-EF60093EAAA0}">
  <dimension ref="A1:CI22"/>
  <sheetViews>
    <sheetView zoomScale="85" zoomScaleNormal="85" workbookViewId="0">
      <selection activeCell="T46" sqref="T46"/>
    </sheetView>
  </sheetViews>
  <sheetFormatPr baseColWidth="10" defaultColWidth="9" defaultRowHeight="14"/>
  <cols>
    <col min="1" max="1" width="11.796875" bestFit="1" customWidth="1"/>
    <col min="2" max="3" width="8" bestFit="1" customWidth="1"/>
    <col min="4" max="18" width="9" bestFit="1" customWidth="1"/>
    <col min="19" max="19" width="8" bestFit="1" customWidth="1"/>
  </cols>
  <sheetData>
    <row r="1" spans="1:87" ht="15">
      <c r="A1" s="5" t="s">
        <v>38</v>
      </c>
      <c r="B1" s="5" t="s">
        <v>21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33</v>
      </c>
      <c r="H1" s="5" t="s">
        <v>32</v>
      </c>
      <c r="I1" s="5" t="s">
        <v>31</v>
      </c>
      <c r="J1" s="5" t="s">
        <v>30</v>
      </c>
      <c r="K1" s="5" t="s">
        <v>29</v>
      </c>
      <c r="L1" s="5" t="s">
        <v>28</v>
      </c>
      <c r="M1" s="5" t="s">
        <v>27</v>
      </c>
      <c r="N1" s="5" t="s">
        <v>26</v>
      </c>
      <c r="O1" s="5" t="s">
        <v>25</v>
      </c>
      <c r="P1" s="5" t="s">
        <v>24</v>
      </c>
      <c r="Q1" s="5" t="s">
        <v>23</v>
      </c>
      <c r="R1" s="5" t="s">
        <v>22</v>
      </c>
      <c r="S1" s="5" t="s">
        <v>39</v>
      </c>
    </row>
    <row r="2" spans="1:87" ht="16">
      <c r="A2" s="4">
        <v>2004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87" ht="16">
      <c r="A3" s="4">
        <v>2005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</row>
    <row r="4" spans="1:87" ht="16">
      <c r="A4" s="4">
        <v>2006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87" ht="16">
      <c r="A5" s="4">
        <v>2007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87" ht="16">
      <c r="A6" s="4">
        <v>2008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87" ht="16">
      <c r="A7" s="4">
        <v>2009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87" ht="16">
      <c r="A8" s="4">
        <v>2011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87" ht="16">
      <c r="A9" s="4">
        <v>2012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87" ht="16">
      <c r="A10" s="4">
        <v>2013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87" ht="16">
      <c r="A11" s="4">
        <v>2014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87" ht="16">
      <c r="A12" s="4">
        <v>2015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87" ht="16">
      <c r="A13" s="4">
        <v>2016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87" ht="16">
      <c r="A14" s="4">
        <v>2017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87" ht="16">
      <c r="A15" s="4">
        <v>2018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87" ht="16">
      <c r="A16" s="4">
        <v>2019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 ht="16">
      <c r="A17" s="4">
        <v>2020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 ht="16">
      <c r="A18" s="4">
        <v>2021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ht="16">
      <c r="A19" s="4">
        <v>2022</v>
      </c>
      <c r="B19" s="8">
        <f>1000*213.1</f>
        <v>213100</v>
      </c>
      <c r="C19" s="8">
        <f>1000*270.9</f>
        <v>270900</v>
      </c>
      <c r="D19" s="8">
        <f>1000*290.1</f>
        <v>290100</v>
      </c>
      <c r="E19" s="8">
        <f>1000*268.8</f>
        <v>268800</v>
      </c>
      <c r="F19" s="8">
        <f>1000*302.9</f>
        <v>302900</v>
      </c>
      <c r="G19" s="8">
        <f>1000*436.1</f>
        <v>436100</v>
      </c>
      <c r="H19" s="8">
        <f>1000*512.2</f>
        <v>512200.00000000006</v>
      </c>
      <c r="I19" s="8">
        <f>1000*561</f>
        <v>561000</v>
      </c>
      <c r="J19" s="8">
        <f>1000*584.7</f>
        <v>584700</v>
      </c>
      <c r="K19" s="8">
        <f>1000*566.6</f>
        <v>566600</v>
      </c>
      <c r="L19" s="8">
        <f>1000*576.8</f>
        <v>576800</v>
      </c>
      <c r="M19" s="8">
        <f>1000*605.9</f>
        <v>605900</v>
      </c>
      <c r="N19" s="8">
        <f>1000*628.1</f>
        <v>628100</v>
      </c>
      <c r="O19" s="8">
        <f>1000*523.5</f>
        <v>523500</v>
      </c>
      <c r="P19" s="8">
        <f>1000*395</f>
        <v>395000</v>
      </c>
      <c r="Q19" s="8">
        <f>1000*221.1</f>
        <v>221100</v>
      </c>
      <c r="R19" s="8">
        <f>1000*159.3</f>
        <v>159300</v>
      </c>
      <c r="S19" s="8">
        <f>1000*230</f>
        <v>230000</v>
      </c>
    </row>
    <row r="20" spans="1:19" ht="16">
      <c r="A20" s="4">
        <v>2023</v>
      </c>
      <c r="B20" s="8">
        <f>1000*201.8</f>
        <v>201800</v>
      </c>
      <c r="C20" s="8">
        <f>1000*269.3</f>
        <v>269300</v>
      </c>
      <c r="D20" s="8">
        <f>1000*310.6</f>
        <v>310600</v>
      </c>
      <c r="E20" s="8">
        <f>1000*291.4</f>
        <v>291400</v>
      </c>
      <c r="F20" s="8">
        <f>1000*318.4</f>
        <v>318400</v>
      </c>
      <c r="G20" s="8">
        <f>1000*432.2</f>
        <v>432200</v>
      </c>
      <c r="H20" s="8">
        <f>1000*512.5</f>
        <v>512500</v>
      </c>
      <c r="I20" s="8">
        <f>1000*564.8</f>
        <v>564800</v>
      </c>
      <c r="J20" s="8">
        <f>1000*600.2</f>
        <v>600200</v>
      </c>
      <c r="K20" s="8">
        <f>1000*566.9</f>
        <v>566900</v>
      </c>
      <c r="L20" s="8">
        <f>1000*587.7</f>
        <v>587700</v>
      </c>
      <c r="M20" s="8">
        <f>1000*591.8</f>
        <v>591800</v>
      </c>
      <c r="N20" s="8">
        <f>1000*646.6</f>
        <v>646600</v>
      </c>
      <c r="O20" s="8">
        <f>1000*568.5</f>
        <v>568500</v>
      </c>
      <c r="P20" s="8">
        <f>1000*424.8</f>
        <v>424800</v>
      </c>
      <c r="Q20" s="8">
        <f>1000*254.1</f>
        <v>254100</v>
      </c>
      <c r="R20" s="8">
        <f>1000*158.6</f>
        <v>158600</v>
      </c>
      <c r="S20" s="8">
        <f>1000*235.9</f>
        <v>235900</v>
      </c>
    </row>
    <row r="21" spans="1:19" ht="16">
      <c r="A21" s="4">
        <v>2024</v>
      </c>
      <c r="B21" s="8">
        <f>1000*188.6</f>
        <v>188600</v>
      </c>
      <c r="C21" s="8">
        <f>1000*262.1</f>
        <v>262100.00000000003</v>
      </c>
      <c r="D21" s="8">
        <f>1000*300.1</f>
        <v>300100</v>
      </c>
      <c r="E21" s="8">
        <f>1000*288.4</f>
        <v>288400</v>
      </c>
      <c r="F21" s="8">
        <f>1000*308.4</f>
        <v>308400</v>
      </c>
      <c r="G21" s="8">
        <f>1000*410.5</f>
        <v>410500</v>
      </c>
      <c r="H21" s="8">
        <f>1000*509</f>
        <v>509000</v>
      </c>
      <c r="I21" s="8">
        <f>1000*563.9</f>
        <v>563900</v>
      </c>
      <c r="J21" s="8">
        <f>1000*602</f>
        <v>602000</v>
      </c>
      <c r="K21" s="8">
        <f>1000*561.3</f>
        <v>561300</v>
      </c>
      <c r="L21" s="8">
        <f>1000*590</f>
        <v>590000</v>
      </c>
      <c r="M21" s="8">
        <f>1000*574.7</f>
        <v>574700</v>
      </c>
      <c r="N21" s="8">
        <f>1000*646.2</f>
        <v>646200</v>
      </c>
      <c r="O21" s="8">
        <f>1000*584.7</f>
        <v>584700</v>
      </c>
      <c r="P21" s="8">
        <f>1000*442.4</f>
        <v>442400</v>
      </c>
      <c r="Q21" s="8">
        <f>1000*290.9</f>
        <v>290900</v>
      </c>
      <c r="R21" s="8">
        <f>1000*157.7</f>
        <v>157700</v>
      </c>
      <c r="S21" s="8">
        <f>1000*243.2</f>
        <v>243200</v>
      </c>
    </row>
    <row r="22" spans="1:19" ht="16">
      <c r="A22" s="4">
        <v>2025</v>
      </c>
      <c r="B22" s="8">
        <f>175.1*1000</f>
        <v>175100</v>
      </c>
      <c r="C22" s="8">
        <f>1000*252.1</f>
        <v>252100</v>
      </c>
      <c r="D22" s="8">
        <f>1000*296.9</f>
        <v>296900</v>
      </c>
      <c r="E22" s="8">
        <f>1000*271.6</f>
        <v>271600</v>
      </c>
      <c r="F22" s="8">
        <f>1000*291.2</f>
        <v>291200</v>
      </c>
      <c r="G22" s="8">
        <f>1000*396.4</f>
        <v>396400</v>
      </c>
      <c r="H22" s="8">
        <f>1000*509.6</f>
        <v>509600</v>
      </c>
      <c r="I22" s="8">
        <f>1000*568.5</f>
        <v>568500</v>
      </c>
      <c r="J22" s="8">
        <f>1000*609.5</f>
        <v>609500</v>
      </c>
      <c r="K22" s="8">
        <f>1000*572</f>
        <v>572000</v>
      </c>
      <c r="L22" s="8">
        <f>1000*585</f>
        <v>585000</v>
      </c>
      <c r="M22" s="8">
        <f>1000*567.7</f>
        <v>567700</v>
      </c>
      <c r="N22" s="8">
        <f>1000*635.4</f>
        <v>635400</v>
      </c>
      <c r="O22" s="8">
        <f>1000*601</f>
        <v>601000</v>
      </c>
      <c r="P22" s="8">
        <f>1000*460</f>
        <v>460000</v>
      </c>
      <c r="Q22" s="8">
        <f>1000*325</f>
        <v>325000</v>
      </c>
      <c r="R22" s="8">
        <f>1000*157.9</f>
        <v>157900</v>
      </c>
      <c r="S22" s="8">
        <f>1000*252.6</f>
        <v>252600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HK MSW Volume and Recycling Rat</vt:lpstr>
      <vt:lpstr>G@C Recyclables Collection Volu</vt:lpstr>
      <vt:lpstr>HK population by age grp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 Yin MAN</dc:creator>
  <cp:lastModifiedBy>Chun Chit HO</cp:lastModifiedBy>
  <dcterms:created xsi:type="dcterms:W3CDTF">2025-10-30T14:34:57Z</dcterms:created>
  <dcterms:modified xsi:type="dcterms:W3CDTF">2025-11-06T15:45:35Z</dcterms:modified>
</cp:coreProperties>
</file>